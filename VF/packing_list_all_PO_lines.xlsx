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N000C9VCDX" sheetId="1" state="visible" r:id="rId1"/>
    <sheet name="VN000C9VEMQ" sheetId="2" state="visible" r:id="rId2"/>
    <sheet name="VN000PH6CYR" sheetId="3" state="visible" r:id="rId3"/>
    <sheet name="VN000TA4FSG" sheetId="4" state="visible" r:id="rId4"/>
    <sheet name="VN000TA6G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0" customWidth="1" min="5" max="5"/>
    <col width="10" customWidth="1" min="6" max="6"/>
    <col width="22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CREATIVE COLLECTIONS LTD. U-1-A</t>
        </is>
      </c>
    </row>
    <row r="2">
      <c r="A2" s="2" t="inlineStr">
        <is>
          <t>PACKING LIST DETAILS</t>
        </is>
      </c>
    </row>
    <row r="4">
      <c r="A4" s="3" t="inlineStr">
        <is>
          <t>SIZE</t>
        </is>
      </c>
      <c r="B4" s="4" t="inlineStr">
        <is>
          <t>30 REG</t>
        </is>
      </c>
      <c r="C4" s="4" t="inlineStr">
        <is>
          <t>32 REG</t>
        </is>
      </c>
      <c r="D4" s="4" t="inlineStr">
        <is>
          <t>34 REG</t>
        </is>
      </c>
      <c r="E4" s="4" t="inlineStr">
        <is>
          <t>36 REG</t>
        </is>
      </c>
    </row>
    <row r="5">
      <c r="A5" s="3" t="inlineStr">
        <is>
          <t>N.W.</t>
        </is>
      </c>
      <c r="B5" s="5" t="n">
        <v>1</v>
      </c>
      <c r="C5" s="5" t="n">
        <v>1</v>
      </c>
      <c r="D5" s="5" t="n">
        <v>1</v>
      </c>
      <c r="E5" s="5" t="n">
        <v>1</v>
      </c>
    </row>
    <row r="6">
      <c r="A6" s="3" t="inlineStr">
        <is>
          <t>N.N.W.</t>
        </is>
      </c>
      <c r="B6" s="5" t="n">
        <v>1</v>
      </c>
      <c r="C6" s="5" t="n">
        <v>1</v>
      </c>
      <c r="D6" s="5" t="n">
        <v>1</v>
      </c>
      <c r="E6" s="5" t="n">
        <v>1</v>
      </c>
    </row>
    <row r="7">
      <c r="A7" s="3" t="inlineStr">
        <is>
          <t>EMPTY CTN</t>
        </is>
      </c>
      <c r="B7" s="5" t="n">
        <v>1</v>
      </c>
      <c r="C7" s="5" t="n">
        <v>1</v>
      </c>
      <c r="D7" s="5" t="n">
        <v>1</v>
      </c>
      <c r="E7" s="5" t="n">
        <v>1</v>
      </c>
    </row>
    <row r="9">
      <c r="A9" s="6" t="inlineStr">
        <is>
          <t>BUYER</t>
        </is>
      </c>
      <c r="B9" s="7" t="inlineStr">
        <is>
          <t>VANS</t>
        </is>
      </c>
    </row>
    <row r="10">
      <c r="A10" s="6" t="inlineStr">
        <is>
          <t>LOT NO</t>
        </is>
      </c>
      <c r="B10" s="7" t="inlineStr">
        <is>
          <t>VN000C9VCDX</t>
        </is>
      </c>
    </row>
    <row r="11">
      <c r="A11" s="6" t="inlineStr">
        <is>
          <t>P.O NO</t>
        </is>
      </c>
      <c r="B11" s="7" t="inlineStr">
        <is>
          <t>600090369200001</t>
        </is>
      </c>
    </row>
    <row r="12">
      <c r="A12" s="6" t="inlineStr">
        <is>
          <t>ORDER QTY</t>
        </is>
      </c>
      <c r="B12" s="7" t="n">
        <v>180</v>
      </c>
      <c r="C12" s="7" t="inlineStr">
        <is>
          <t>PCS</t>
        </is>
      </c>
    </row>
    <row r="13">
      <c r="A13" s="6" t="inlineStr">
        <is>
          <t>PACK QTY</t>
        </is>
      </c>
      <c r="B13" s="7" t="n">
        <v>180</v>
      </c>
      <c r="C13" s="7" t="inlineStr">
        <is>
          <t>PCS</t>
        </is>
      </c>
    </row>
    <row r="14">
      <c r="A14" s="6" t="inlineStr">
        <is>
          <t>EXCESS/SHORT QTY</t>
        </is>
      </c>
      <c r="B14" s="7">
        <f>F33</f>
        <v/>
      </c>
      <c r="C14" s="7" t="inlineStr">
        <is>
          <t>PCS</t>
        </is>
      </c>
    </row>
    <row r="15">
      <c r="A15" s="6" t="inlineStr">
        <is>
          <t>PERCENTAGE</t>
        </is>
      </c>
      <c r="B15" s="7">
        <f>IF(F33="","-",TEXT(IFERROR(F33/F31,0),"0.00%"))</f>
        <v/>
      </c>
    </row>
    <row r="16">
      <c r="A16" s="6" t="inlineStr">
        <is>
          <t>CRD</t>
        </is>
      </c>
      <c r="B16" s="7" t="inlineStr">
        <is>
          <t>2026-01-10</t>
        </is>
      </c>
    </row>
    <row r="17">
      <c r="A17" s="6" t="inlineStr">
        <is>
          <t>COUNTRY</t>
        </is>
      </c>
      <c r="B17" s="7" t="inlineStr">
        <is>
          <t>AUSTRALIA</t>
        </is>
      </c>
    </row>
    <row r="18">
      <c r="A18" s="6" t="inlineStr">
        <is>
          <t>DESCRIPTION</t>
        </is>
      </c>
      <c r="B18" s="7" t="inlineStr">
        <is>
          <t>CHECK-5 BAGGY DENIM</t>
        </is>
      </c>
    </row>
    <row r="20">
      <c r="A20" s="4" t="inlineStr">
        <is>
          <t>CASE LABEL NO.</t>
        </is>
      </c>
      <c r="B20" s="4" t="inlineStr">
        <is>
          <t>CARTON NO.</t>
        </is>
      </c>
      <c r="C20" s="4" t="inlineStr">
        <is>
          <t>COLOR</t>
        </is>
      </c>
      <c r="D20" s="4" t="inlineStr">
        <is>
          <t>UPC Number</t>
        </is>
      </c>
      <c r="E20" s="4" t="inlineStr">
        <is>
          <t>30 REG</t>
        </is>
      </c>
      <c r="F20" s="4" t="inlineStr">
        <is>
          <t>32 REG</t>
        </is>
      </c>
      <c r="G20" s="4" t="inlineStr">
        <is>
          <t>34 REG</t>
        </is>
      </c>
      <c r="H20" s="4" t="inlineStr">
        <is>
          <t>36 REG</t>
        </is>
      </c>
      <c r="I20" s="4" t="inlineStr">
        <is>
          <t>CTN PCS</t>
        </is>
      </c>
      <c r="J20" s="4" t="inlineStr">
        <is>
          <t>TOTAL CTN</t>
        </is>
      </c>
      <c r="K20" s="4" t="inlineStr">
        <is>
          <t>TOTAL PCS</t>
        </is>
      </c>
      <c r="L20" s="4" t="inlineStr">
        <is>
          <t>Grs.wt.pr ctn</t>
        </is>
      </c>
      <c r="M20" s="4" t="inlineStr">
        <is>
          <t>Net.wt.pr ctn</t>
        </is>
      </c>
      <c r="N20" s="4" t="inlineStr">
        <is>
          <t>total.Grs.wt</t>
        </is>
      </c>
      <c r="O20" s="4" t="inlineStr">
        <is>
          <t>total.net.wt</t>
        </is>
      </c>
    </row>
    <row r="21">
      <c r="A21" s="8" t="n">
        <v>1</v>
      </c>
      <c r="B21" s="9" t="n"/>
      <c r="C21" s="8" t="inlineStr">
        <is>
          <t>STONEWASH BLUE</t>
        </is>
      </c>
      <c r="D21" s="8" t="inlineStr">
        <is>
          <t>196573552791</t>
        </is>
      </c>
      <c r="E21" s="5" t="n">
        <v>38</v>
      </c>
      <c r="F21" s="5" t="n"/>
      <c r="G21" s="5" t="n"/>
      <c r="H21" s="5" t="n"/>
      <c r="I21" s="10">
        <f>SUM(E21:H21)</f>
        <v/>
      </c>
      <c r="J21" s="5" t="n">
        <v>1</v>
      </c>
      <c r="K21" s="5">
        <f>J21*I21</f>
        <v/>
      </c>
      <c r="L21" s="5">
        <f>SUMPRODUCT(E21:H21,B5:E5)+B7</f>
        <v/>
      </c>
      <c r="M21" s="5">
        <f>L21-B7</f>
        <v/>
      </c>
      <c r="N21" s="5">
        <f>J21*L21</f>
        <v/>
      </c>
      <c r="O21" s="5">
        <f>J21*M21</f>
        <v/>
      </c>
    </row>
    <row r="22">
      <c r="A22" s="8" t="n">
        <v>2</v>
      </c>
      <c r="B22" s="9" t="n"/>
      <c r="C22" s="8" t="inlineStr">
        <is>
          <t>STONEWASH BLUE</t>
        </is>
      </c>
      <c r="D22" s="8" t="inlineStr">
        <is>
          <t>196573553071</t>
        </is>
      </c>
      <c r="E22" s="5" t="n"/>
      <c r="F22" s="5" t="n">
        <v>38</v>
      </c>
      <c r="G22" s="5" t="n"/>
      <c r="H22" s="5" t="n"/>
      <c r="I22" s="10">
        <f>SUM(E22:H22)</f>
        <v/>
      </c>
      <c r="J22" s="5" t="n">
        <v>1</v>
      </c>
      <c r="K22" s="5">
        <f>J22*I22</f>
        <v/>
      </c>
      <c r="L22" s="5">
        <f>SUMPRODUCT(E22:H22,B5:E5)+B7</f>
        <v/>
      </c>
      <c r="M22" s="5">
        <f>L22-B7</f>
        <v/>
      </c>
      <c r="N22" s="5">
        <f>J22*L22</f>
        <v/>
      </c>
      <c r="O22" s="5">
        <f>J22*M22</f>
        <v/>
      </c>
    </row>
    <row r="23">
      <c r="A23" s="8" t="n">
        <v>3</v>
      </c>
      <c r="B23" s="9" t="n"/>
      <c r="C23" s="8" t="inlineStr">
        <is>
          <t>STONEWASH BLUE</t>
        </is>
      </c>
      <c r="D23" s="8" t="inlineStr">
        <is>
          <t>196573553125</t>
        </is>
      </c>
      <c r="E23" s="5" t="n"/>
      <c r="F23" s="5" t="n"/>
      <c r="G23" s="5" t="n">
        <v>38</v>
      </c>
      <c r="H23" s="5" t="n"/>
      <c r="I23" s="10">
        <f>SUM(E23:H23)</f>
        <v/>
      </c>
      <c r="J23" s="5" t="n">
        <v>1</v>
      </c>
      <c r="K23" s="5">
        <f>J23*I23</f>
        <v/>
      </c>
      <c r="L23" s="5">
        <f>SUMPRODUCT(E23:H23,B5:E5)+B7</f>
        <v/>
      </c>
      <c r="M23" s="5">
        <f>L23-B7</f>
        <v/>
      </c>
      <c r="N23" s="5">
        <f>J23*L23</f>
        <v/>
      </c>
      <c r="O23" s="5">
        <f>J23*M23</f>
        <v/>
      </c>
    </row>
    <row r="24">
      <c r="A24" s="8" t="n">
        <v>4</v>
      </c>
      <c r="B24" s="9" t="n"/>
      <c r="C24" s="9" t="inlineStr">
        <is>
          <t>MIXED</t>
        </is>
      </c>
      <c r="D24" s="8" t="n"/>
      <c r="E24" s="5" t="n">
        <v>4</v>
      </c>
      <c r="F24" s="5" t="n">
        <v>28</v>
      </c>
      <c r="G24" s="5" t="n">
        <v>6</v>
      </c>
      <c r="H24" s="5" t="n"/>
      <c r="I24" s="10">
        <f>SUM(E24:H24)</f>
        <v/>
      </c>
      <c r="J24" s="5" t="n">
        <v>1</v>
      </c>
      <c r="K24" s="5">
        <f>J24*I24</f>
        <v/>
      </c>
      <c r="L24" s="5">
        <f>SUMPRODUCT(E24:H24,B5:E5)+B7</f>
        <v/>
      </c>
      <c r="M24" s="5">
        <f>L24-B7</f>
        <v/>
      </c>
      <c r="N24" s="5">
        <f>J24*L24</f>
        <v/>
      </c>
      <c r="O24" s="5">
        <f>J24*M24</f>
        <v/>
      </c>
    </row>
    <row r="25">
      <c r="A25" s="8" t="n">
        <v>5</v>
      </c>
      <c r="B25" s="9" t="n"/>
      <c r="C25" s="9" t="inlineStr">
        <is>
          <t>MIXED</t>
        </is>
      </c>
      <c r="D25" s="8" t="n"/>
      <c r="E25" s="5" t="n"/>
      <c r="F25" s="5" t="n"/>
      <c r="G25" s="5" t="n">
        <v>3</v>
      </c>
      <c r="H25" s="5" t="n">
        <v>25</v>
      </c>
      <c r="I25" s="10">
        <f>SUM(E25:H25)</f>
        <v/>
      </c>
      <c r="J25" s="5" t="n">
        <v>1</v>
      </c>
      <c r="K25" s="5">
        <f>J25*I25</f>
        <v/>
      </c>
      <c r="L25" s="5">
        <f>SUMPRODUCT(E25:H25,B5:E5)+B7</f>
        <v/>
      </c>
      <c r="M25" s="5">
        <f>L25-B7</f>
        <v/>
      </c>
      <c r="N25" s="5">
        <f>J25*L25</f>
        <v/>
      </c>
      <c r="O25" s="5">
        <f>J25*M25</f>
        <v/>
      </c>
    </row>
    <row r="26">
      <c r="C26" s="6" t="inlineStr">
        <is>
          <t>TOTAL</t>
        </is>
      </c>
      <c r="E26" s="3">
        <f>SUMPRODUCT(E21:E25,J21:J25)</f>
        <v/>
      </c>
      <c r="F26" s="3">
        <f>SUMPRODUCT(F21:F25,J21:J25)</f>
        <v/>
      </c>
      <c r="G26" s="3">
        <f>SUMPRODUCT(G21:G25,J21:J25)</f>
        <v/>
      </c>
      <c r="H26" s="3">
        <f>SUMPRODUCT(H21:H25,J21:J25)</f>
        <v/>
      </c>
      <c r="J26" s="6">
        <f>IF(COUNT(J21:J25)=0,"",SUM(J21:J25))</f>
        <v/>
      </c>
      <c r="K26" s="6">
        <f>IF(COUNT(K21:K25)=0,"",SUM(K21:K25))</f>
        <v/>
      </c>
      <c r="L26" s="6">
        <f>SUM(L21:L25)</f>
        <v/>
      </c>
      <c r="M26" s="6">
        <f>SUM(M21:M25)</f>
        <v/>
      </c>
      <c r="N26" s="6">
        <f>IF(COUNT(N21:N25)=0,"",SUM(N21:N25))</f>
        <v/>
      </c>
      <c r="O26" s="6">
        <f>IF(COUNT(O21:O25)=0,"",SUM(O21:O25))</f>
        <v/>
      </c>
    </row>
    <row r="29">
      <c r="A29" s="6" t="inlineStr">
        <is>
          <t>SIZE</t>
        </is>
      </c>
      <c r="B29" s="6" t="inlineStr">
        <is>
          <t>30 REG</t>
        </is>
      </c>
      <c r="C29" s="6" t="inlineStr">
        <is>
          <t>32 REG</t>
        </is>
      </c>
      <c r="D29" s="6" t="inlineStr">
        <is>
          <t>34 REG</t>
        </is>
      </c>
      <c r="E29" s="6" t="inlineStr">
        <is>
          <t>36 REG</t>
        </is>
      </c>
      <c r="F29" s="6" t="inlineStr">
        <is>
          <t>G TOTAL</t>
        </is>
      </c>
      <c r="G29" s="2" t="inlineStr">
        <is>
          <t>Grand Total gross weight (kg)</t>
        </is>
      </c>
      <c r="H29" s="2" t="inlineStr">
        <is>
          <t>Grand Total net weight (kg)</t>
        </is>
      </c>
    </row>
    <row r="30">
      <c r="A30" s="6" t="inlineStr">
        <is>
          <t>CUT QTY</t>
        </is>
      </c>
      <c r="B30" s="11" t="n"/>
      <c r="C30" s="11" t="n"/>
      <c r="D30" s="11" t="n"/>
      <c r="E30" s="11" t="n"/>
      <c r="F30" s="3">
        <f>IF(COUNT(B30:E30)=0,"",SUM(B30:E30))</f>
        <v/>
      </c>
      <c r="G30" s="10">
        <f>N26</f>
        <v/>
      </c>
      <c r="H30" s="10">
        <f>O26</f>
        <v/>
      </c>
    </row>
    <row r="31">
      <c r="A31" s="6" t="inlineStr">
        <is>
          <t>ORDER QTY</t>
        </is>
      </c>
      <c r="B31" s="5" t="n">
        <v>42</v>
      </c>
      <c r="C31" s="5" t="n">
        <v>66</v>
      </c>
      <c r="D31" s="5" t="n">
        <v>47</v>
      </c>
      <c r="E31" s="5" t="n">
        <v>25</v>
      </c>
      <c r="F31" s="3">
        <f>SUM(B31:E31)</f>
        <v/>
      </c>
    </row>
    <row r="32">
      <c r="A32" s="6" t="inlineStr">
        <is>
          <t>SHIP QTY</t>
        </is>
      </c>
      <c r="B32" s="11" t="n"/>
      <c r="C32" s="11" t="n"/>
      <c r="D32" s="11" t="n"/>
      <c r="E32" s="11" t="n"/>
      <c r="F32" s="3">
        <f>IF(COUNT(B32:E32)=0,"",SUM(B32:E32))</f>
        <v/>
      </c>
    </row>
    <row r="33">
      <c r="A33" s="6" t="inlineStr">
        <is>
          <t>EXS/SHT QTY</t>
        </is>
      </c>
      <c r="B33" s="5">
        <f>IF(B32="","",B32-B31)</f>
        <v/>
      </c>
      <c r="C33" s="5">
        <f>IF(C32="","",C32-C31)</f>
        <v/>
      </c>
      <c r="D33" s="5">
        <f>IF(D32="","",D32-D31)</f>
        <v/>
      </c>
      <c r="E33" s="5">
        <f>IF(E32="","",E32-E31)</f>
        <v/>
      </c>
      <c r="F33" s="3">
        <f>IF(COUNT(B33:E33)=0,"",SUM(B33:E33))</f>
        <v/>
      </c>
    </row>
    <row r="34">
      <c r="A34" s="6" t="inlineStr">
        <is>
          <t>PERCENTAGE</t>
        </is>
      </c>
      <c r="B34" s="12">
        <f>IF(B33="","",IFERROR(B33/B31,0))</f>
        <v/>
      </c>
      <c r="C34" s="12">
        <f>IF(C33="","",IFERROR(C33/C31,0))</f>
        <v/>
      </c>
      <c r="D34" s="12">
        <f>IF(D33="","",IFERROR(D33/D31,0))</f>
        <v/>
      </c>
      <c r="E34" s="12">
        <f>IF(E33="","",IFERROR(E33/E31,0))</f>
        <v/>
      </c>
      <c r="F34" s="13">
        <f>IF(F33="","",IFERROR(F33/F31,0))</f>
        <v/>
      </c>
    </row>
    <row r="36">
      <c r="A36" s="6" t="inlineStr">
        <is>
          <t>GROSS WEIGHT :</t>
        </is>
      </c>
      <c r="B36" s="14" t="n"/>
    </row>
    <row r="37">
      <c r="A37" s="6" t="inlineStr">
        <is>
          <t>NET WEIGHT :</t>
        </is>
      </c>
      <c r="B37" s="14" t="n"/>
    </row>
    <row r="38">
      <c r="A38" s="6" t="inlineStr">
        <is>
          <t>CTN MEAS :</t>
        </is>
      </c>
      <c r="B38" s="14" t="n"/>
    </row>
    <row r="39">
      <c r="A39" s="6" t="inlineStr">
        <is>
          <t>CBM :</t>
        </is>
      </c>
      <c r="B39" s="14" t="n"/>
    </row>
    <row r="42">
      <c r="A42" s="6" t="inlineStr">
        <is>
          <t>Legend:</t>
        </is>
      </c>
    </row>
    <row r="43">
      <c r="A43" s="15" t="inlineStr">
        <is>
          <t>Yellow cells = data NOT available in the PO PDF (fill in from factory cutting/packing records)</t>
        </is>
      </c>
    </row>
  </sheetData>
  <mergeCells count="6">
    <mergeCell ref="H30:H34"/>
    <mergeCell ref="G30:G34"/>
    <mergeCell ref="A2:H2"/>
    <mergeCell ref="G29"/>
    <mergeCell ref="H2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0" customWidth="1" min="5" max="5"/>
    <col width="10" customWidth="1" min="6" max="6"/>
    <col width="22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CREATIVE COLLECTIONS LTD. U-1-A</t>
        </is>
      </c>
    </row>
    <row r="2">
      <c r="A2" s="2" t="inlineStr">
        <is>
          <t>PACKING LIST DETAILS</t>
        </is>
      </c>
    </row>
    <row r="4">
      <c r="A4" s="3" t="inlineStr">
        <is>
          <t>SIZE</t>
        </is>
      </c>
      <c r="B4" s="4" t="inlineStr">
        <is>
          <t>30 REG</t>
        </is>
      </c>
      <c r="C4" s="4" t="inlineStr">
        <is>
          <t>32 REG</t>
        </is>
      </c>
      <c r="D4" s="4" t="inlineStr">
        <is>
          <t>34 REG</t>
        </is>
      </c>
      <c r="E4" s="4" t="inlineStr">
        <is>
          <t>36 REG</t>
        </is>
      </c>
    </row>
    <row r="5">
      <c r="A5" s="3" t="inlineStr">
        <is>
          <t>N.W.</t>
        </is>
      </c>
      <c r="B5" s="5" t="n">
        <v>1</v>
      </c>
      <c r="C5" s="5" t="n">
        <v>1</v>
      </c>
      <c r="D5" s="5" t="n">
        <v>1</v>
      </c>
      <c r="E5" s="5" t="n">
        <v>1</v>
      </c>
    </row>
    <row r="6">
      <c r="A6" s="3" t="inlineStr">
        <is>
          <t>N.N.W.</t>
        </is>
      </c>
      <c r="B6" s="5" t="n">
        <v>1</v>
      </c>
      <c r="C6" s="5" t="n">
        <v>1</v>
      </c>
      <c r="D6" s="5" t="n">
        <v>1</v>
      </c>
      <c r="E6" s="5" t="n">
        <v>1</v>
      </c>
    </row>
    <row r="7">
      <c r="A7" s="3" t="inlineStr">
        <is>
          <t>EMPTY CTN</t>
        </is>
      </c>
      <c r="B7" s="5" t="n">
        <v>1</v>
      </c>
      <c r="C7" s="5" t="n">
        <v>1</v>
      </c>
      <c r="D7" s="5" t="n">
        <v>1</v>
      </c>
      <c r="E7" s="5" t="n">
        <v>1</v>
      </c>
    </row>
    <row r="9">
      <c r="A9" s="6" t="inlineStr">
        <is>
          <t>BUYER</t>
        </is>
      </c>
      <c r="B9" s="7" t="inlineStr">
        <is>
          <t>VANS</t>
        </is>
      </c>
    </row>
    <row r="10">
      <c r="A10" s="6" t="inlineStr">
        <is>
          <t>LOT NO</t>
        </is>
      </c>
      <c r="B10" s="7" t="inlineStr">
        <is>
          <t>VN000C9VEMQ</t>
        </is>
      </c>
    </row>
    <row r="11">
      <c r="A11" s="6" t="inlineStr">
        <is>
          <t>P.O NO</t>
        </is>
      </c>
      <c r="B11" s="7" t="inlineStr">
        <is>
          <t>600090369200002</t>
        </is>
      </c>
    </row>
    <row r="12">
      <c r="A12" s="6" t="inlineStr">
        <is>
          <t>ORDER QTY</t>
        </is>
      </c>
      <c r="B12" s="7" t="n">
        <v>180</v>
      </c>
      <c r="C12" s="7" t="inlineStr">
        <is>
          <t>PCS</t>
        </is>
      </c>
    </row>
    <row r="13">
      <c r="A13" s="6" t="inlineStr">
        <is>
          <t>PACK QTY</t>
        </is>
      </c>
      <c r="B13" s="7" t="n">
        <v>180</v>
      </c>
      <c r="C13" s="7" t="inlineStr">
        <is>
          <t>PCS</t>
        </is>
      </c>
    </row>
    <row r="14">
      <c r="A14" s="6" t="inlineStr">
        <is>
          <t>EXCESS/SHORT QTY</t>
        </is>
      </c>
      <c r="B14" s="7">
        <f>F35</f>
        <v/>
      </c>
      <c r="C14" s="7" t="inlineStr">
        <is>
          <t>PCS</t>
        </is>
      </c>
    </row>
    <row r="15">
      <c r="A15" s="6" t="inlineStr">
        <is>
          <t>PERCENTAGE</t>
        </is>
      </c>
      <c r="B15" s="7">
        <f>IF(F35="","-",TEXT(IFERROR(F35/F33,0),"0.00%"))</f>
        <v/>
      </c>
    </row>
    <row r="16">
      <c r="A16" s="6" t="inlineStr">
        <is>
          <t>CRD</t>
        </is>
      </c>
      <c r="B16" s="7" t="inlineStr">
        <is>
          <t>2026-01-10</t>
        </is>
      </c>
    </row>
    <row r="17">
      <c r="A17" s="6" t="inlineStr">
        <is>
          <t>COUNTRY</t>
        </is>
      </c>
      <c r="B17" s="7" t="inlineStr">
        <is>
          <t>AUSTRALIA</t>
        </is>
      </c>
    </row>
    <row r="18">
      <c r="A18" s="6" t="inlineStr">
        <is>
          <t>DESCRIPTION</t>
        </is>
      </c>
      <c r="B18" s="7" t="inlineStr">
        <is>
          <t>CHECK-5 BAGGY DENIM</t>
        </is>
      </c>
    </row>
    <row r="20">
      <c r="A20" s="4" t="inlineStr">
        <is>
          <t>CASE LABEL NO.</t>
        </is>
      </c>
      <c r="B20" s="4" t="inlineStr">
        <is>
          <t>CARTON NO.</t>
        </is>
      </c>
      <c r="C20" s="4" t="inlineStr">
        <is>
          <t>COLOR</t>
        </is>
      </c>
      <c r="D20" s="4" t="inlineStr">
        <is>
          <t>UPC Number</t>
        </is>
      </c>
      <c r="E20" s="4" t="inlineStr">
        <is>
          <t>30 REG</t>
        </is>
      </c>
      <c r="F20" s="4" t="inlineStr">
        <is>
          <t>32 REG</t>
        </is>
      </c>
      <c r="G20" s="4" t="inlineStr">
        <is>
          <t>34 REG</t>
        </is>
      </c>
      <c r="H20" s="4" t="inlineStr">
        <is>
          <t>36 REG</t>
        </is>
      </c>
      <c r="I20" s="4" t="inlineStr">
        <is>
          <t>CTN PCS</t>
        </is>
      </c>
      <c r="J20" s="4" t="inlineStr">
        <is>
          <t>TOTAL CTN</t>
        </is>
      </c>
      <c r="K20" s="4" t="inlineStr">
        <is>
          <t>TOTAL PCS</t>
        </is>
      </c>
      <c r="L20" s="4" t="inlineStr">
        <is>
          <t>Grs.wt.pr ctn</t>
        </is>
      </c>
      <c r="M20" s="4" t="inlineStr">
        <is>
          <t>Net.wt.pr ctn</t>
        </is>
      </c>
      <c r="N20" s="4" t="inlineStr">
        <is>
          <t>total.Grs.wt</t>
        </is>
      </c>
      <c r="O20" s="4" t="inlineStr">
        <is>
          <t>total.net.wt</t>
        </is>
      </c>
    </row>
    <row r="21">
      <c r="A21" s="8" t="n">
        <v>1</v>
      </c>
      <c r="B21" s="9" t="n"/>
      <c r="C21" s="8" t="inlineStr">
        <is>
          <t>WASHED BLACK</t>
        </is>
      </c>
      <c r="D21" s="8" t="inlineStr">
        <is>
          <t>196573552661</t>
        </is>
      </c>
      <c r="E21" s="5" t="n">
        <v>24</v>
      </c>
      <c r="F21" s="5" t="n"/>
      <c r="G21" s="5" t="n"/>
      <c r="H21" s="5" t="n"/>
      <c r="I21" s="10">
        <f>SUM(E21:H21)</f>
        <v/>
      </c>
      <c r="J21" s="5" t="n">
        <v>1</v>
      </c>
      <c r="K21" s="5">
        <f>J21*I21</f>
        <v/>
      </c>
      <c r="L21" s="5">
        <f>SUMPRODUCT(E21:H21,B5:E5)+B7</f>
        <v/>
      </c>
      <c r="M21" s="5">
        <f>L21-B7</f>
        <v/>
      </c>
      <c r="N21" s="5">
        <f>J21*L21</f>
        <v/>
      </c>
      <c r="O21" s="5">
        <f>J21*M21</f>
        <v/>
      </c>
    </row>
    <row r="22">
      <c r="A22" s="8" t="n">
        <v>2</v>
      </c>
      <c r="B22" s="9" t="n"/>
      <c r="C22" s="8" t="inlineStr">
        <is>
          <t>WASHED BLACK</t>
        </is>
      </c>
      <c r="D22" s="8" t="inlineStr">
        <is>
          <t>196573552876</t>
        </is>
      </c>
      <c r="E22" s="5" t="n"/>
      <c r="F22" s="5" t="n">
        <v>24</v>
      </c>
      <c r="G22" s="5" t="n"/>
      <c r="H22" s="5" t="n"/>
      <c r="I22" s="10">
        <f>SUM(E22:H22)</f>
        <v/>
      </c>
      <c r="J22" s="5" t="n">
        <v>2</v>
      </c>
      <c r="K22" s="5">
        <f>J22*I22</f>
        <v/>
      </c>
      <c r="L22" s="5">
        <f>SUMPRODUCT(E22:H22,B5:E5)+B7</f>
        <v/>
      </c>
      <c r="M22" s="5">
        <f>L22-B7</f>
        <v/>
      </c>
      <c r="N22" s="5">
        <f>J22*L22</f>
        <v/>
      </c>
      <c r="O22" s="5">
        <f>J22*M22</f>
        <v/>
      </c>
    </row>
    <row r="23">
      <c r="A23" s="8" t="n">
        <v>3</v>
      </c>
      <c r="B23" s="9" t="n"/>
      <c r="C23" s="8" t="inlineStr">
        <is>
          <t>WASHED BLACK</t>
        </is>
      </c>
      <c r="D23" s="8" t="inlineStr">
        <is>
          <t>196573552944</t>
        </is>
      </c>
      <c r="E23" s="5" t="n"/>
      <c r="F23" s="5" t="n"/>
      <c r="G23" s="5" t="n">
        <v>24</v>
      </c>
      <c r="H23" s="5" t="n"/>
      <c r="I23" s="10">
        <f>SUM(E23:H23)</f>
        <v/>
      </c>
      <c r="J23" s="5" t="n">
        <v>1</v>
      </c>
      <c r="K23" s="5">
        <f>J23*I23</f>
        <v/>
      </c>
      <c r="L23" s="5">
        <f>SUMPRODUCT(E23:H23,B5:E5)+B7</f>
        <v/>
      </c>
      <c r="M23" s="5">
        <f>L23-B7</f>
        <v/>
      </c>
      <c r="N23" s="5">
        <f>J23*L23</f>
        <v/>
      </c>
      <c r="O23" s="5">
        <f>J23*M23</f>
        <v/>
      </c>
    </row>
    <row r="24">
      <c r="A24" s="8" t="n">
        <v>4</v>
      </c>
      <c r="B24" s="9" t="n"/>
      <c r="C24" s="8" t="inlineStr">
        <is>
          <t>WASHED BLACK</t>
        </is>
      </c>
      <c r="D24" s="8" t="inlineStr">
        <is>
          <t>196573552968</t>
        </is>
      </c>
      <c r="E24" s="5" t="n"/>
      <c r="F24" s="5" t="n"/>
      <c r="G24" s="5" t="n"/>
      <c r="H24" s="5" t="n">
        <v>24</v>
      </c>
      <c r="I24" s="10">
        <f>SUM(E24:H24)</f>
        <v/>
      </c>
      <c r="J24" s="5" t="n">
        <v>1</v>
      </c>
      <c r="K24" s="5">
        <f>J24*I24</f>
        <v/>
      </c>
      <c r="L24" s="5">
        <f>SUMPRODUCT(E24:H24,B5:E5)+B7</f>
        <v/>
      </c>
      <c r="M24" s="5">
        <f>L24-B7</f>
        <v/>
      </c>
      <c r="N24" s="5">
        <f>J24*L24</f>
        <v/>
      </c>
      <c r="O24" s="5">
        <f>J24*M24</f>
        <v/>
      </c>
    </row>
    <row r="25">
      <c r="A25" s="8" t="n">
        <v>5</v>
      </c>
      <c r="B25" s="9" t="n"/>
      <c r="C25" s="9" t="inlineStr">
        <is>
          <t>MIXED</t>
        </is>
      </c>
      <c r="D25" s="8" t="n"/>
      <c r="E25" s="5" t="n">
        <v>18</v>
      </c>
      <c r="F25" s="5" t="n">
        <v>6</v>
      </c>
      <c r="G25" s="5" t="n"/>
      <c r="H25" s="5" t="n"/>
      <c r="I25" s="10">
        <f>SUM(E25:H25)</f>
        <v/>
      </c>
      <c r="J25" s="5" t="n">
        <v>1</v>
      </c>
      <c r="K25" s="5">
        <f>J25*I25</f>
        <v/>
      </c>
      <c r="L25" s="5">
        <f>SUMPRODUCT(E25:H25,B5:E5)+B7</f>
        <v/>
      </c>
      <c r="M25" s="5">
        <f>L25-B7</f>
        <v/>
      </c>
      <c r="N25" s="5">
        <f>J25*L25</f>
        <v/>
      </c>
      <c r="O25" s="5">
        <f>J25*M25</f>
        <v/>
      </c>
    </row>
    <row r="26">
      <c r="A26" s="8" t="n">
        <v>6</v>
      </c>
      <c r="B26" s="9" t="n"/>
      <c r="C26" s="9" t="inlineStr">
        <is>
          <t>MIXED</t>
        </is>
      </c>
      <c r="D26" s="8" t="n"/>
      <c r="E26" s="5" t="n"/>
      <c r="F26" s="5" t="n">
        <v>12</v>
      </c>
      <c r="G26" s="5" t="n">
        <v>12</v>
      </c>
      <c r="H26" s="5" t="n"/>
      <c r="I26" s="10">
        <f>SUM(E26:H26)</f>
        <v/>
      </c>
      <c r="J26" s="5" t="n">
        <v>1</v>
      </c>
      <c r="K26" s="5">
        <f>J26*I26</f>
        <v/>
      </c>
      <c r="L26" s="5">
        <f>SUMPRODUCT(E26:H26,B5:E5)+B7</f>
        <v/>
      </c>
      <c r="M26" s="5">
        <f>L26-B7</f>
        <v/>
      </c>
      <c r="N26" s="5">
        <f>J26*L26</f>
        <v/>
      </c>
      <c r="O26" s="5">
        <f>J26*M26</f>
        <v/>
      </c>
    </row>
    <row r="27">
      <c r="A27" s="8" t="n">
        <v>7</v>
      </c>
      <c r="B27" s="9" t="n"/>
      <c r="C27" s="9" t="inlineStr">
        <is>
          <t>MIXED</t>
        </is>
      </c>
      <c r="D27" s="8" t="n"/>
      <c r="E27" s="5" t="n"/>
      <c r="F27" s="5" t="n"/>
      <c r="G27" s="5" t="n">
        <v>11</v>
      </c>
      <c r="H27" s="5" t="n">
        <v>1</v>
      </c>
      <c r="I27" s="10">
        <f>SUM(E27:H27)</f>
        <v/>
      </c>
      <c r="J27" s="5" t="n">
        <v>1</v>
      </c>
      <c r="K27" s="5">
        <f>J27*I27</f>
        <v/>
      </c>
      <c r="L27" s="5">
        <f>SUMPRODUCT(E27:H27,B5:E5)+B7</f>
        <v/>
      </c>
      <c r="M27" s="5">
        <f>L27-B7</f>
        <v/>
      </c>
      <c r="N27" s="5">
        <f>J27*L27</f>
        <v/>
      </c>
      <c r="O27" s="5">
        <f>J27*M27</f>
        <v/>
      </c>
    </row>
    <row r="28">
      <c r="C28" s="6" t="inlineStr">
        <is>
          <t>TOTAL</t>
        </is>
      </c>
      <c r="E28" s="3">
        <f>SUMPRODUCT(E21:E27,J21:J27)</f>
        <v/>
      </c>
      <c r="F28" s="3">
        <f>SUMPRODUCT(F21:F27,J21:J27)</f>
        <v/>
      </c>
      <c r="G28" s="3">
        <f>SUMPRODUCT(G21:G27,J21:J27)</f>
        <v/>
      </c>
      <c r="H28" s="3">
        <f>SUMPRODUCT(H21:H27,J21:J27)</f>
        <v/>
      </c>
      <c r="J28" s="6">
        <f>IF(COUNT(J21:J27)=0,"",SUM(J21:J27))</f>
        <v/>
      </c>
      <c r="K28" s="6">
        <f>IF(COUNT(K21:K27)=0,"",SUM(K21:K27))</f>
        <v/>
      </c>
      <c r="L28" s="6">
        <f>SUM(L21:L27)</f>
        <v/>
      </c>
      <c r="M28" s="6">
        <f>SUM(M21:M27)</f>
        <v/>
      </c>
      <c r="N28" s="6">
        <f>IF(COUNT(N21:N27)=0,"",SUM(N21:N27))</f>
        <v/>
      </c>
      <c r="O28" s="6">
        <f>IF(COUNT(O21:O27)=0,"",SUM(O21:O27))</f>
        <v/>
      </c>
    </row>
    <row r="31">
      <c r="A31" s="6" t="inlineStr">
        <is>
          <t>SIZE</t>
        </is>
      </c>
      <c r="B31" s="6" t="inlineStr">
        <is>
          <t>30 REG</t>
        </is>
      </c>
      <c r="C31" s="6" t="inlineStr">
        <is>
          <t>32 REG</t>
        </is>
      </c>
      <c r="D31" s="6" t="inlineStr">
        <is>
          <t>34 REG</t>
        </is>
      </c>
      <c r="E31" s="6" t="inlineStr">
        <is>
          <t>36 REG</t>
        </is>
      </c>
      <c r="F31" s="6" t="inlineStr">
        <is>
          <t>G TOTAL</t>
        </is>
      </c>
      <c r="G31" s="2" t="inlineStr">
        <is>
          <t>Grand Total gross weight (kg)</t>
        </is>
      </c>
      <c r="H31" s="2" t="inlineStr">
        <is>
          <t>Grand Total net weight (kg)</t>
        </is>
      </c>
    </row>
    <row r="32">
      <c r="A32" s="6" t="inlineStr">
        <is>
          <t>CUT QTY</t>
        </is>
      </c>
      <c r="B32" s="11" t="n"/>
      <c r="C32" s="11" t="n"/>
      <c r="D32" s="11" t="n"/>
      <c r="E32" s="11" t="n"/>
      <c r="F32" s="3">
        <f>IF(COUNT(B32:E32)=0,"",SUM(B32:E32))</f>
        <v/>
      </c>
      <c r="G32" s="10">
        <f>N28</f>
        <v/>
      </c>
      <c r="H32" s="10">
        <f>O28</f>
        <v/>
      </c>
    </row>
    <row r="33">
      <c r="A33" s="6" t="inlineStr">
        <is>
          <t>ORDER QTY</t>
        </is>
      </c>
      <c r="B33" s="5" t="n">
        <v>42</v>
      </c>
      <c r="C33" s="5" t="n">
        <v>66</v>
      </c>
      <c r="D33" s="5" t="n">
        <v>47</v>
      </c>
      <c r="E33" s="5" t="n">
        <v>25</v>
      </c>
      <c r="F33" s="3">
        <f>SUM(B33:E33)</f>
        <v/>
      </c>
    </row>
    <row r="34">
      <c r="A34" s="6" t="inlineStr">
        <is>
          <t>SHIP QTY</t>
        </is>
      </c>
      <c r="B34" s="11" t="n"/>
      <c r="C34" s="11" t="n"/>
      <c r="D34" s="11" t="n"/>
      <c r="E34" s="11" t="n"/>
      <c r="F34" s="3">
        <f>IF(COUNT(B34:E34)=0,"",SUM(B34:E34))</f>
        <v/>
      </c>
    </row>
    <row r="35">
      <c r="A35" s="6" t="inlineStr">
        <is>
          <t>EXS/SHT QTY</t>
        </is>
      </c>
      <c r="B35" s="5">
        <f>IF(B34="","",B34-B33)</f>
        <v/>
      </c>
      <c r="C35" s="5">
        <f>IF(C34="","",C34-C33)</f>
        <v/>
      </c>
      <c r="D35" s="5">
        <f>IF(D34="","",D34-D33)</f>
        <v/>
      </c>
      <c r="E35" s="5">
        <f>IF(E34="","",E34-E33)</f>
        <v/>
      </c>
      <c r="F35" s="3">
        <f>IF(COUNT(B35:E35)=0,"",SUM(B35:E35))</f>
        <v/>
      </c>
    </row>
    <row r="36">
      <c r="A36" s="6" t="inlineStr">
        <is>
          <t>PERCENTAGE</t>
        </is>
      </c>
      <c r="B36" s="12">
        <f>IF(B35="","",IFERROR(B35/B33,0))</f>
        <v/>
      </c>
      <c r="C36" s="12">
        <f>IF(C35="","",IFERROR(C35/C33,0))</f>
        <v/>
      </c>
      <c r="D36" s="12">
        <f>IF(D35="","",IFERROR(D35/D33,0))</f>
        <v/>
      </c>
      <c r="E36" s="12">
        <f>IF(E35="","",IFERROR(E35/E33,0))</f>
        <v/>
      </c>
      <c r="F36" s="13">
        <f>IF(F35="","",IFERROR(F35/F33,0))</f>
        <v/>
      </c>
    </row>
    <row r="38">
      <c r="A38" s="6" t="inlineStr">
        <is>
          <t>GROSS WEIGHT :</t>
        </is>
      </c>
      <c r="B38" s="14" t="n"/>
    </row>
    <row r="39">
      <c r="A39" s="6" t="inlineStr">
        <is>
          <t>NET WEIGHT :</t>
        </is>
      </c>
      <c r="B39" s="14" t="n"/>
    </row>
    <row r="40">
      <c r="A40" s="6" t="inlineStr">
        <is>
          <t>CTN MEAS :</t>
        </is>
      </c>
      <c r="B40" s="14" t="n"/>
    </row>
    <row r="41">
      <c r="A41" s="6" t="inlineStr">
        <is>
          <t>CBM :</t>
        </is>
      </c>
      <c r="B41" s="14" t="n"/>
    </row>
    <row r="44">
      <c r="A44" s="6" t="inlineStr">
        <is>
          <t>Legend:</t>
        </is>
      </c>
    </row>
    <row r="45">
      <c r="A45" s="15" t="inlineStr">
        <is>
          <t>Yellow cells = data NOT available in the PO PDF (fill in from factory cutting/packing records)</t>
        </is>
      </c>
    </row>
  </sheetData>
  <mergeCells count="6">
    <mergeCell ref="G31"/>
    <mergeCell ref="H31"/>
    <mergeCell ref="A2:H2"/>
    <mergeCell ref="H32:H36"/>
    <mergeCell ref="G32:G3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2" customWidth="1" min="12" max="12"/>
    <col width="22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CREATIVE COLLECTIONS LTD. U-1-A</t>
        </is>
      </c>
    </row>
    <row r="2">
      <c r="A2" s="2" t="inlineStr">
        <is>
          <t>PACKING LIST DETAILS</t>
        </is>
      </c>
    </row>
    <row r="4">
      <c r="A4" s="3" t="inlineStr">
        <is>
          <t>SIZE</t>
        </is>
      </c>
      <c r="B4" s="4" t="inlineStr">
        <is>
          <t>25 30</t>
        </is>
      </c>
      <c r="C4" s="4" t="inlineStr">
        <is>
          <t>26 30</t>
        </is>
      </c>
      <c r="D4" s="4" t="inlineStr">
        <is>
          <t>27 30</t>
        </is>
      </c>
      <c r="E4" s="4" t="inlineStr">
        <is>
          <t>28 30</t>
        </is>
      </c>
      <c r="F4" s="4" t="inlineStr">
        <is>
          <t>29 30</t>
        </is>
      </c>
      <c r="G4" s="4" t="inlineStr">
        <is>
          <t>30 30</t>
        </is>
      </c>
      <c r="H4" s="4" t="inlineStr">
        <is>
          <t>32 30</t>
        </is>
      </c>
      <c r="I4" s="4" t="inlineStr">
        <is>
          <t>34 30</t>
        </is>
      </c>
      <c r="J4" s="4" t="inlineStr">
        <is>
          <t>36 30</t>
        </is>
      </c>
    </row>
    <row r="5">
      <c r="A5" s="3" t="inlineStr">
        <is>
          <t>N.W.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</row>
    <row r="6">
      <c r="A6" s="3" t="inlineStr">
        <is>
          <t>N.N.W.</t>
        </is>
      </c>
      <c r="B6" s="5" t="n">
        <v>1</v>
      </c>
      <c r="C6" s="5" t="n">
        <v>1</v>
      </c>
      <c r="D6" s="5" t="n">
        <v>1</v>
      </c>
      <c r="E6" s="5" t="n">
        <v>1</v>
      </c>
      <c r="F6" s="5" t="n">
        <v>1</v>
      </c>
      <c r="G6" s="5" t="n">
        <v>1</v>
      </c>
      <c r="H6" s="5" t="n">
        <v>1</v>
      </c>
      <c r="I6" s="5" t="n">
        <v>1</v>
      </c>
      <c r="J6" s="5" t="n">
        <v>1</v>
      </c>
    </row>
    <row r="7">
      <c r="A7" s="3" t="inlineStr">
        <is>
          <t>EMPTY CTN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</row>
    <row r="9">
      <c r="A9" s="6" t="inlineStr">
        <is>
          <t>BUYER</t>
        </is>
      </c>
      <c r="B9" s="7" t="inlineStr">
        <is>
          <t>VANS</t>
        </is>
      </c>
    </row>
    <row r="10">
      <c r="A10" s="6" t="inlineStr">
        <is>
          <t>LOT NO</t>
        </is>
      </c>
      <c r="B10" s="7" t="inlineStr">
        <is>
          <t>VN000PH6CYR</t>
        </is>
      </c>
    </row>
    <row r="11">
      <c r="A11" s="6" t="inlineStr">
        <is>
          <t>P.O NO</t>
        </is>
      </c>
      <c r="B11" s="7" t="inlineStr">
        <is>
          <t>600090369200003</t>
        </is>
      </c>
    </row>
    <row r="12">
      <c r="A12" s="6" t="inlineStr">
        <is>
          <t>ORDER QTY</t>
        </is>
      </c>
      <c r="B12" s="7" t="n">
        <v>188</v>
      </c>
      <c r="C12" s="7" t="inlineStr">
        <is>
          <t>PCS</t>
        </is>
      </c>
    </row>
    <row r="13">
      <c r="A13" s="6" t="inlineStr">
        <is>
          <t>PACK QTY</t>
        </is>
      </c>
      <c r="B13" s="7" t="n">
        <v>188</v>
      </c>
      <c r="C13" s="7" t="inlineStr">
        <is>
          <t>PCS</t>
        </is>
      </c>
    </row>
    <row r="14">
      <c r="A14" s="6" t="inlineStr">
        <is>
          <t>EXCESS/SHORT QTY</t>
        </is>
      </c>
      <c r="B14" s="7">
        <f>K34</f>
        <v/>
      </c>
      <c r="C14" s="7" t="inlineStr">
        <is>
          <t>PCS</t>
        </is>
      </c>
    </row>
    <row r="15">
      <c r="A15" s="6" t="inlineStr">
        <is>
          <t>PERCENTAGE</t>
        </is>
      </c>
      <c r="B15" s="7">
        <f>IF(K34="","-",TEXT(IFERROR(K34/K32,0),"0.00%"))</f>
        <v/>
      </c>
    </row>
    <row r="16">
      <c r="A16" s="6" t="inlineStr">
        <is>
          <t>CRD</t>
        </is>
      </c>
      <c r="B16" s="7" t="inlineStr">
        <is>
          <t>2026-01-10</t>
        </is>
      </c>
    </row>
    <row r="17">
      <c r="A17" s="6" t="inlineStr">
        <is>
          <t>COUNTRY</t>
        </is>
      </c>
      <c r="B17" s="7" t="inlineStr">
        <is>
          <t>AUSTRALIA</t>
        </is>
      </c>
    </row>
    <row r="18">
      <c r="A18" s="6" t="inlineStr">
        <is>
          <t>DESCRIPTION</t>
        </is>
      </c>
      <c r="B18" s="7" t="inlineStr">
        <is>
          <t>CHECK-5 LOOSE DENIM</t>
        </is>
      </c>
    </row>
    <row r="20">
      <c r="A20" s="4" t="inlineStr">
        <is>
          <t>CASE LABEL NO.</t>
        </is>
      </c>
      <c r="B20" s="4" t="inlineStr">
        <is>
          <t>CARTON NO.</t>
        </is>
      </c>
      <c r="C20" s="4" t="inlineStr">
        <is>
          <t>COLOR</t>
        </is>
      </c>
      <c r="D20" s="4" t="inlineStr">
        <is>
          <t>UPC Number</t>
        </is>
      </c>
      <c r="E20" s="4" t="inlineStr">
        <is>
          <t>25 30</t>
        </is>
      </c>
      <c r="F20" s="4" t="inlineStr">
        <is>
          <t>26 30</t>
        </is>
      </c>
      <c r="G20" s="4" t="inlineStr">
        <is>
          <t>27 30</t>
        </is>
      </c>
      <c r="H20" s="4" t="inlineStr">
        <is>
          <t>28 30</t>
        </is>
      </c>
      <c r="I20" s="4" t="inlineStr">
        <is>
          <t>29 30</t>
        </is>
      </c>
      <c r="J20" s="4" t="inlineStr">
        <is>
          <t>30 30</t>
        </is>
      </c>
      <c r="K20" s="4" t="inlineStr">
        <is>
          <t>32 30</t>
        </is>
      </c>
      <c r="L20" s="4" t="inlineStr">
        <is>
          <t>34 30</t>
        </is>
      </c>
      <c r="M20" s="4" t="inlineStr">
        <is>
          <t>36 30</t>
        </is>
      </c>
      <c r="N20" s="4" t="inlineStr">
        <is>
          <t>CTN PCS</t>
        </is>
      </c>
      <c r="O20" s="4" t="inlineStr">
        <is>
          <t>TOTAL CTN</t>
        </is>
      </c>
      <c r="P20" s="4" t="inlineStr">
        <is>
          <t>TOTAL PCS</t>
        </is>
      </c>
      <c r="Q20" s="4" t="inlineStr">
        <is>
          <t>Grs.wt.pr ctn</t>
        </is>
      </c>
      <c r="R20" s="4" t="inlineStr">
        <is>
          <t>Net.wt.pr ctn</t>
        </is>
      </c>
      <c r="S20" s="4" t="inlineStr">
        <is>
          <t>total.Grs.wt</t>
        </is>
      </c>
      <c r="T20" s="4" t="inlineStr">
        <is>
          <t>total.net.wt</t>
        </is>
      </c>
    </row>
    <row r="21">
      <c r="A21" s="8" t="n">
        <v>1</v>
      </c>
      <c r="B21" s="9" t="n"/>
      <c r="C21" s="8" t="inlineStr">
        <is>
          <t>BLUE ICE</t>
        </is>
      </c>
      <c r="D21" s="8" t="inlineStr">
        <is>
          <t>198266650463</t>
        </is>
      </c>
      <c r="E21" s="5" t="n"/>
      <c r="F21" s="5" t="n"/>
      <c r="G21" s="5" t="n"/>
      <c r="H21" s="5" t="n"/>
      <c r="I21" s="5" t="n"/>
      <c r="J21" s="5" t="n">
        <v>22</v>
      </c>
      <c r="K21" s="5" t="n"/>
      <c r="L21" s="5" t="n"/>
      <c r="M21" s="5" t="n"/>
      <c r="N21" s="10">
        <f>SUM(E21:M21)</f>
        <v/>
      </c>
      <c r="O21" s="5" t="n">
        <v>1</v>
      </c>
      <c r="P21" s="5">
        <f>O21*N21</f>
        <v/>
      </c>
      <c r="Q21" s="5">
        <f>SUMPRODUCT(E21:M21,B5:J5)+B7</f>
        <v/>
      </c>
      <c r="R21" s="5">
        <f>Q21-B7</f>
        <v/>
      </c>
      <c r="S21" s="5">
        <f>O21*Q21</f>
        <v/>
      </c>
      <c r="T21" s="5">
        <f>O21*R21</f>
        <v/>
      </c>
    </row>
    <row r="22">
      <c r="A22" s="8" t="n">
        <v>2</v>
      </c>
      <c r="B22" s="9" t="n"/>
      <c r="C22" s="8" t="inlineStr">
        <is>
          <t>BLUE ICE</t>
        </is>
      </c>
      <c r="D22" s="8" t="inlineStr">
        <is>
          <t>198266650722</t>
        </is>
      </c>
      <c r="E22" s="5" t="n"/>
      <c r="F22" s="5" t="n"/>
      <c r="G22" s="5" t="n"/>
      <c r="H22" s="5" t="n"/>
      <c r="I22" s="5" t="n"/>
      <c r="J22" s="5" t="n"/>
      <c r="K22" s="5" t="n">
        <v>22</v>
      </c>
      <c r="L22" s="5" t="n"/>
      <c r="M22" s="5" t="n"/>
      <c r="N22" s="10">
        <f>SUM(E22:M22)</f>
        <v/>
      </c>
      <c r="O22" s="5" t="n">
        <v>3</v>
      </c>
      <c r="P22" s="5">
        <f>O22*N22</f>
        <v/>
      </c>
      <c r="Q22" s="5">
        <f>SUMPRODUCT(E22:M22,B5:J5)+B7</f>
        <v/>
      </c>
      <c r="R22" s="5">
        <f>Q22-B7</f>
        <v/>
      </c>
      <c r="S22" s="5">
        <f>O22*Q22</f>
        <v/>
      </c>
      <c r="T22" s="5">
        <f>O22*R22</f>
        <v/>
      </c>
    </row>
    <row r="23">
      <c r="A23" s="8" t="n">
        <v>3</v>
      </c>
      <c r="B23" s="9" t="n"/>
      <c r="C23" s="8" t="inlineStr">
        <is>
          <t>BLUE ICE</t>
        </is>
      </c>
      <c r="D23" s="8" t="inlineStr">
        <is>
          <t>198266651354</t>
        </is>
      </c>
      <c r="E23" s="5" t="n"/>
      <c r="F23" s="5" t="n"/>
      <c r="G23" s="5" t="n"/>
      <c r="H23" s="5" t="n"/>
      <c r="I23" s="5" t="n"/>
      <c r="J23" s="5" t="n"/>
      <c r="K23" s="5" t="n"/>
      <c r="L23" s="5" t="n">
        <v>22</v>
      </c>
      <c r="M23" s="5" t="n"/>
      <c r="N23" s="10">
        <f>SUM(E23:M23)</f>
        <v/>
      </c>
      <c r="O23" s="5" t="n">
        <v>2</v>
      </c>
      <c r="P23" s="5">
        <f>O23*N23</f>
        <v/>
      </c>
      <c r="Q23" s="5">
        <f>SUMPRODUCT(E23:M23,B5:J5)+B7</f>
        <v/>
      </c>
      <c r="R23" s="5">
        <f>Q23-B7</f>
        <v/>
      </c>
      <c r="S23" s="5">
        <f>O23*Q23</f>
        <v/>
      </c>
      <c r="T23" s="5">
        <f>O23*R23</f>
        <v/>
      </c>
    </row>
    <row r="24">
      <c r="A24" s="8" t="n">
        <v>4</v>
      </c>
      <c r="B24" s="9" t="n"/>
      <c r="C24" s="8" t="inlineStr">
        <is>
          <t>BLUE ICE</t>
        </is>
      </c>
      <c r="D24" s="8" t="inlineStr">
        <is>
          <t>198266651767</t>
        </is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>
        <v>22</v>
      </c>
      <c r="N24" s="10">
        <f>SUM(E24:M24)</f>
        <v/>
      </c>
      <c r="O24" s="5" t="n">
        <v>1</v>
      </c>
      <c r="P24" s="5">
        <f>O24*N24</f>
        <v/>
      </c>
      <c r="Q24" s="5">
        <f>SUMPRODUCT(E24:M24,B5:J5)+B7</f>
        <v/>
      </c>
      <c r="R24" s="5">
        <f>Q24-B7</f>
        <v/>
      </c>
      <c r="S24" s="5">
        <f>O24*Q24</f>
        <v/>
      </c>
      <c r="T24" s="5">
        <f>O24*R24</f>
        <v/>
      </c>
    </row>
    <row r="25">
      <c r="A25" s="8" t="n">
        <v>5</v>
      </c>
      <c r="B25" s="9" t="n"/>
      <c r="C25" s="9" t="inlineStr">
        <is>
          <t>MIXED</t>
        </is>
      </c>
      <c r="D25" s="8" t="n"/>
      <c r="E25" s="5" t="n">
        <v>1</v>
      </c>
      <c r="F25" s="5" t="n">
        <v>2</v>
      </c>
      <c r="G25" s="5" t="n">
        <v>1</v>
      </c>
      <c r="H25" s="5" t="n">
        <v>2</v>
      </c>
      <c r="I25" s="5" t="n">
        <v>1</v>
      </c>
      <c r="J25" s="5" t="n">
        <v>15</v>
      </c>
      <c r="K25" s="5" t="n"/>
      <c r="L25" s="5" t="n"/>
      <c r="M25" s="5" t="n"/>
      <c r="N25" s="10">
        <f>SUM(E25:M25)</f>
        <v/>
      </c>
      <c r="O25" s="5" t="n">
        <v>1</v>
      </c>
      <c r="P25" s="5">
        <f>O25*N25</f>
        <v/>
      </c>
      <c r="Q25" s="5">
        <f>SUMPRODUCT(E25:M25,B5:J5)+B7</f>
        <v/>
      </c>
      <c r="R25" s="5">
        <f>Q25-B7</f>
        <v/>
      </c>
      <c r="S25" s="5">
        <f>O25*Q25</f>
        <v/>
      </c>
      <c r="T25" s="5">
        <f>O25*R25</f>
        <v/>
      </c>
    </row>
    <row r="26">
      <c r="A26" s="8" t="n">
        <v>6</v>
      </c>
      <c r="B26" s="9" t="n"/>
      <c r="C26" s="9" t="inlineStr">
        <is>
          <t>MIXED</t>
        </is>
      </c>
      <c r="D26" s="8" t="n"/>
      <c r="E26" s="5" t="n"/>
      <c r="F26" s="5" t="n"/>
      <c r="G26" s="5" t="n"/>
      <c r="H26" s="5" t="n"/>
      <c r="I26" s="5" t="n"/>
      <c r="J26" s="5" t="n">
        <v>6</v>
      </c>
      <c r="K26" s="5" t="n"/>
      <c r="L26" s="5" t="n">
        <v>3</v>
      </c>
      <c r="M26" s="5" t="n">
        <v>3</v>
      </c>
      <c r="N26" s="10">
        <f>SUM(E26:M26)</f>
        <v/>
      </c>
      <c r="O26" s="5" t="n">
        <v>1</v>
      </c>
      <c r="P26" s="5">
        <f>O26*N26</f>
        <v/>
      </c>
      <c r="Q26" s="5">
        <f>SUMPRODUCT(E26:M26,B5:J5)+B7</f>
        <v/>
      </c>
      <c r="R26" s="5">
        <f>Q26-B7</f>
        <v/>
      </c>
      <c r="S26" s="5">
        <f>O26*Q26</f>
        <v/>
      </c>
      <c r="T26" s="5">
        <f>O26*R26</f>
        <v/>
      </c>
    </row>
    <row r="27">
      <c r="C27" s="6" t="inlineStr">
        <is>
          <t>TOTAL</t>
        </is>
      </c>
      <c r="E27" s="3">
        <f>SUMPRODUCT(E21:E26,O21:O26)</f>
        <v/>
      </c>
      <c r="F27" s="3">
        <f>SUMPRODUCT(F21:F26,O21:O26)</f>
        <v/>
      </c>
      <c r="G27" s="3">
        <f>SUMPRODUCT(G21:G26,O21:O26)</f>
        <v/>
      </c>
      <c r="H27" s="3">
        <f>SUMPRODUCT(H21:H26,O21:O26)</f>
        <v/>
      </c>
      <c r="I27" s="3">
        <f>SUMPRODUCT(I21:I26,O21:O26)</f>
        <v/>
      </c>
      <c r="J27" s="3">
        <f>SUMPRODUCT(J21:J26,O21:O26)</f>
        <v/>
      </c>
      <c r="K27" s="3">
        <f>SUMPRODUCT(K21:K26,O21:O26)</f>
        <v/>
      </c>
      <c r="L27" s="3">
        <f>SUMPRODUCT(L21:L26,O21:O26)</f>
        <v/>
      </c>
      <c r="M27" s="3">
        <f>SUMPRODUCT(M21:M26,O21:O26)</f>
        <v/>
      </c>
      <c r="O27" s="6">
        <f>IF(COUNT(O21:O26)=0,"",SUM(O21:O26))</f>
        <v/>
      </c>
      <c r="P27" s="6">
        <f>IF(COUNT(P21:P26)=0,"",SUM(P21:P26))</f>
        <v/>
      </c>
      <c r="Q27" s="6">
        <f>SUM(Q21:Q26)</f>
        <v/>
      </c>
      <c r="R27" s="6">
        <f>SUM(R21:R26)</f>
        <v/>
      </c>
      <c r="S27" s="6">
        <f>IF(COUNT(S21:S26)=0,"",SUM(S21:S26))</f>
        <v/>
      </c>
      <c r="T27" s="6">
        <f>IF(COUNT(T21:T26)=0,"",SUM(T21:T26))</f>
        <v/>
      </c>
    </row>
    <row r="30">
      <c r="A30" s="6" t="inlineStr">
        <is>
          <t>SIZE</t>
        </is>
      </c>
      <c r="B30" s="6" t="inlineStr">
        <is>
          <t>25 30</t>
        </is>
      </c>
      <c r="C30" s="6" t="inlineStr">
        <is>
          <t>26 30</t>
        </is>
      </c>
      <c r="D30" s="6" t="inlineStr">
        <is>
          <t>27 30</t>
        </is>
      </c>
      <c r="E30" s="6" t="inlineStr">
        <is>
          <t>28 30</t>
        </is>
      </c>
      <c r="F30" s="6" t="inlineStr">
        <is>
          <t>29 30</t>
        </is>
      </c>
      <c r="G30" s="6" t="inlineStr">
        <is>
          <t>30 30</t>
        </is>
      </c>
      <c r="H30" s="6" t="inlineStr">
        <is>
          <t>32 30</t>
        </is>
      </c>
      <c r="I30" s="6" t="inlineStr">
        <is>
          <t>34 30</t>
        </is>
      </c>
      <c r="J30" s="6" t="inlineStr">
        <is>
          <t>36 30</t>
        </is>
      </c>
      <c r="K30" s="6" t="inlineStr">
        <is>
          <t>G TOTAL</t>
        </is>
      </c>
      <c r="L30" s="2" t="inlineStr">
        <is>
          <t>Grand Total gross weight (kg)</t>
        </is>
      </c>
      <c r="M30" s="2" t="inlineStr">
        <is>
          <t>Grand Total net weight (kg)</t>
        </is>
      </c>
    </row>
    <row r="31">
      <c r="A31" s="6" t="inlineStr">
        <is>
          <t>CUT QTY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3">
        <f>IF(COUNT(B31:J31)=0,"",SUM(B31:J31))</f>
        <v/>
      </c>
      <c r="L31" s="10">
        <f>S27</f>
        <v/>
      </c>
      <c r="M31" s="10">
        <f>T27</f>
        <v/>
      </c>
    </row>
    <row r="32">
      <c r="A32" s="6" t="inlineStr">
        <is>
          <t>ORDER QTY</t>
        </is>
      </c>
      <c r="B32" s="5" t="n">
        <v>1</v>
      </c>
      <c r="C32" s="5" t="n">
        <v>2</v>
      </c>
      <c r="D32" s="5" t="n">
        <v>1</v>
      </c>
      <c r="E32" s="5" t="n">
        <v>2</v>
      </c>
      <c r="F32" s="5" t="n">
        <v>1</v>
      </c>
      <c r="G32" s="5" t="n">
        <v>43</v>
      </c>
      <c r="H32" s="5" t="n">
        <v>66</v>
      </c>
      <c r="I32" s="5" t="n">
        <v>47</v>
      </c>
      <c r="J32" s="5" t="n">
        <v>25</v>
      </c>
      <c r="K32" s="3">
        <f>SUM(B32:J32)</f>
        <v/>
      </c>
    </row>
    <row r="33">
      <c r="A33" s="6" t="inlineStr">
        <is>
          <t>SHIP QTY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3">
        <f>IF(COUNT(B33:J33)=0,"",SUM(B33:J33))</f>
        <v/>
      </c>
    </row>
    <row r="34">
      <c r="A34" s="6" t="inlineStr">
        <is>
          <t>EXS/SHT QTY</t>
        </is>
      </c>
      <c r="B34" s="5">
        <f>IF(B33="","",B33-B32)</f>
        <v/>
      </c>
      <c r="C34" s="5">
        <f>IF(C33="","",C33-C32)</f>
        <v/>
      </c>
      <c r="D34" s="5">
        <f>IF(D33="","",D33-D32)</f>
        <v/>
      </c>
      <c r="E34" s="5">
        <f>IF(E33="","",E33-E32)</f>
        <v/>
      </c>
      <c r="F34" s="5">
        <f>IF(F33="","",F33-F32)</f>
        <v/>
      </c>
      <c r="G34" s="5">
        <f>IF(G33="","",G33-G32)</f>
        <v/>
      </c>
      <c r="H34" s="5">
        <f>IF(H33="","",H33-H32)</f>
        <v/>
      </c>
      <c r="I34" s="5">
        <f>IF(I33="","",I33-I32)</f>
        <v/>
      </c>
      <c r="J34" s="5">
        <f>IF(J33="","",J33-J32)</f>
        <v/>
      </c>
      <c r="K34" s="3">
        <f>IF(COUNT(B34:J34)=0,"",SUM(B34:J34))</f>
        <v/>
      </c>
    </row>
    <row r="35">
      <c r="A35" s="6" t="inlineStr">
        <is>
          <t>PERCENTAGE</t>
        </is>
      </c>
      <c r="B35" s="12">
        <f>IF(B34="","",IFERROR(B34/B32,0))</f>
        <v/>
      </c>
      <c r="C35" s="12">
        <f>IF(C34="","",IFERROR(C34/C32,0))</f>
        <v/>
      </c>
      <c r="D35" s="12">
        <f>IF(D34="","",IFERROR(D34/D32,0))</f>
        <v/>
      </c>
      <c r="E35" s="12">
        <f>IF(E34="","",IFERROR(E34/E32,0))</f>
        <v/>
      </c>
      <c r="F35" s="12">
        <f>IF(F34="","",IFERROR(F34/F32,0))</f>
        <v/>
      </c>
      <c r="G35" s="12">
        <f>IF(G34="","",IFERROR(G34/G32,0))</f>
        <v/>
      </c>
      <c r="H35" s="12">
        <f>IF(H34="","",IFERROR(H34/H32,0))</f>
        <v/>
      </c>
      <c r="I35" s="12">
        <f>IF(I34="","",IFERROR(I34/I32,0))</f>
        <v/>
      </c>
      <c r="J35" s="12">
        <f>IF(J34="","",IFERROR(J34/J32,0))</f>
        <v/>
      </c>
      <c r="K35" s="13">
        <f>IF(K34="","",IFERROR(K34/K32,0))</f>
        <v/>
      </c>
    </row>
    <row r="37">
      <c r="A37" s="6" t="inlineStr">
        <is>
          <t>GROSS WEIGHT :</t>
        </is>
      </c>
      <c r="B37" s="14" t="n"/>
    </row>
    <row r="38">
      <c r="A38" s="6" t="inlineStr">
        <is>
          <t>NET WEIGHT :</t>
        </is>
      </c>
      <c r="B38" s="14" t="n"/>
    </row>
    <row r="39">
      <c r="A39" s="6" t="inlineStr">
        <is>
          <t>CTN MEAS :</t>
        </is>
      </c>
      <c r="B39" s="14" t="n"/>
    </row>
    <row r="40">
      <c r="A40" s="6" t="inlineStr">
        <is>
          <t>CBM :</t>
        </is>
      </c>
      <c r="B40" s="14" t="n"/>
    </row>
    <row r="43">
      <c r="A43" s="6" t="inlineStr">
        <is>
          <t>Legend:</t>
        </is>
      </c>
    </row>
    <row r="44">
      <c r="A44" s="15" t="inlineStr">
        <is>
          <t>Yellow cells = data NOT available in the PO PDF (fill in from factory cutting/packing records)</t>
        </is>
      </c>
    </row>
  </sheetData>
  <mergeCells count="6">
    <mergeCell ref="L31:L35"/>
    <mergeCell ref="M31:M35"/>
    <mergeCell ref="L30"/>
    <mergeCell ref="A2:H2"/>
    <mergeCell ref="M3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22" customWidth="1" min="8" max="8"/>
    <col width="2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CREATIVE COLLECTIONS LTD. U-1-A</t>
        </is>
      </c>
    </row>
    <row r="2">
      <c r="A2" s="2" t="inlineStr">
        <is>
          <t>PACKING LIST DETAILS</t>
        </is>
      </c>
    </row>
    <row r="4">
      <c r="A4" s="3" t="inlineStr">
        <is>
          <t>SIZE</t>
        </is>
      </c>
      <c r="B4" s="4" t="inlineStr">
        <is>
          <t>S</t>
        </is>
      </c>
      <c r="C4" s="4" t="inlineStr">
        <is>
          <t>M</t>
        </is>
      </c>
      <c r="D4" s="4" t="inlineStr">
        <is>
          <t>L</t>
        </is>
      </c>
      <c r="E4" s="4" t="inlineStr">
        <is>
          <t>XL</t>
        </is>
      </c>
      <c r="F4" s="4" t="inlineStr">
        <is>
          <t>XXL</t>
        </is>
      </c>
    </row>
    <row r="5">
      <c r="A5" s="3" t="inlineStr">
        <is>
          <t>N.W.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</row>
    <row r="6">
      <c r="A6" s="3" t="inlineStr">
        <is>
          <t>N.N.W.</t>
        </is>
      </c>
      <c r="B6" s="5" t="n">
        <v>1</v>
      </c>
      <c r="C6" s="5" t="n">
        <v>1</v>
      </c>
      <c r="D6" s="5" t="n">
        <v>1</v>
      </c>
      <c r="E6" s="5" t="n">
        <v>1</v>
      </c>
      <c r="F6" s="5" t="n">
        <v>1</v>
      </c>
    </row>
    <row r="7">
      <c r="A7" s="3" t="inlineStr">
        <is>
          <t>EMPTY CTN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</row>
    <row r="9">
      <c r="A9" s="6" t="inlineStr">
        <is>
          <t>BUYER</t>
        </is>
      </c>
      <c r="B9" s="7" t="inlineStr">
        <is>
          <t>VANS</t>
        </is>
      </c>
    </row>
    <row r="10">
      <c r="A10" s="6" t="inlineStr">
        <is>
          <t>LOT NO</t>
        </is>
      </c>
      <c r="B10" s="7" t="inlineStr">
        <is>
          <t>VN000TA4FSG</t>
        </is>
      </c>
    </row>
    <row r="11">
      <c r="A11" s="6" t="inlineStr">
        <is>
          <t>P.O NO</t>
        </is>
      </c>
      <c r="B11" s="7" t="inlineStr">
        <is>
          <t>600090369200004</t>
        </is>
      </c>
    </row>
    <row r="12">
      <c r="A12" s="6" t="inlineStr">
        <is>
          <t>ORDER QTY</t>
        </is>
      </c>
      <c r="B12" s="7" t="n">
        <v>183</v>
      </c>
      <c r="C12" s="7" t="inlineStr">
        <is>
          <t>PCS</t>
        </is>
      </c>
    </row>
    <row r="13">
      <c r="A13" s="6" t="inlineStr">
        <is>
          <t>PACK QTY</t>
        </is>
      </c>
      <c r="B13" s="7" t="n">
        <v>183</v>
      </c>
      <c r="C13" s="7" t="inlineStr">
        <is>
          <t>PCS</t>
        </is>
      </c>
    </row>
    <row r="14">
      <c r="A14" s="6" t="inlineStr">
        <is>
          <t>EXCESS/SHORT QTY</t>
        </is>
      </c>
      <c r="B14" s="7">
        <f>G35</f>
        <v/>
      </c>
      <c r="C14" s="7" t="inlineStr">
        <is>
          <t>PCS</t>
        </is>
      </c>
    </row>
    <row r="15">
      <c r="A15" s="6" t="inlineStr">
        <is>
          <t>PERCENTAGE</t>
        </is>
      </c>
      <c r="B15" s="7">
        <f>IF(G35="","-",TEXT(IFERROR(G35/G33,0),"0.00%"))</f>
        <v/>
      </c>
    </row>
    <row r="16">
      <c r="A16" s="6" t="inlineStr">
        <is>
          <t>CRD</t>
        </is>
      </c>
      <c r="B16" s="7" t="inlineStr">
        <is>
          <t>2026-01-10</t>
        </is>
      </c>
    </row>
    <row r="17">
      <c r="A17" s="6" t="inlineStr">
        <is>
          <t>COUNTRY</t>
        </is>
      </c>
      <c r="B17" s="7" t="inlineStr">
        <is>
          <t>AUSTRALIA</t>
        </is>
      </c>
    </row>
    <row r="18">
      <c r="A18" s="6" t="inlineStr">
        <is>
          <t>DESCRIPTION</t>
        </is>
      </c>
      <c r="B18" s="7" t="inlineStr">
        <is>
          <t>VAN DOREN TENCEL</t>
        </is>
      </c>
    </row>
    <row r="20">
      <c r="A20" s="4" t="inlineStr">
        <is>
          <t>CASE LABEL NO.</t>
        </is>
      </c>
      <c r="B20" s="4" t="inlineStr">
        <is>
          <t>CARTON NO.</t>
        </is>
      </c>
      <c r="C20" s="4" t="inlineStr">
        <is>
          <t>COLOR</t>
        </is>
      </c>
      <c r="D20" s="4" t="inlineStr">
        <is>
          <t>UPC Number</t>
        </is>
      </c>
      <c r="E20" s="4" t="inlineStr">
        <is>
          <t>S</t>
        </is>
      </c>
      <c r="F20" s="4" t="inlineStr">
        <is>
          <t>M</t>
        </is>
      </c>
      <c r="G20" s="4" t="inlineStr">
        <is>
          <t>L</t>
        </is>
      </c>
      <c r="H20" s="4" t="inlineStr">
        <is>
          <t>XL</t>
        </is>
      </c>
      <c r="I20" s="4" t="inlineStr">
        <is>
          <t>XXL</t>
        </is>
      </c>
      <c r="J20" s="4" t="inlineStr">
        <is>
          <t>CTN PCS</t>
        </is>
      </c>
      <c r="K20" s="4" t="inlineStr">
        <is>
          <t>TOTAL CTN</t>
        </is>
      </c>
      <c r="L20" s="4" t="inlineStr">
        <is>
          <t>TOTAL PCS</t>
        </is>
      </c>
      <c r="M20" s="4" t="inlineStr">
        <is>
          <t>Grs.wt.pr ctn</t>
        </is>
      </c>
      <c r="N20" s="4" t="inlineStr">
        <is>
          <t>Net.wt.pr ctn</t>
        </is>
      </c>
      <c r="O20" s="4" t="inlineStr">
        <is>
          <t>total.Grs.wt</t>
        </is>
      </c>
      <c r="P20" s="4" t="inlineStr">
        <is>
          <t>total.net.wt</t>
        </is>
      </c>
    </row>
    <row r="21">
      <c r="A21" s="8" t="n">
        <v>1</v>
      </c>
      <c r="B21" s="9" t="n"/>
      <c r="C21" s="8" t="inlineStr">
        <is>
          <t>SOFT SAGE</t>
        </is>
      </c>
      <c r="D21" s="8" t="inlineStr">
        <is>
          <t>198266610047</t>
        </is>
      </c>
      <c r="E21" s="5" t="n">
        <v>22</v>
      </c>
      <c r="F21" s="5" t="n"/>
      <c r="G21" s="5" t="n"/>
      <c r="H21" s="5" t="n"/>
      <c r="I21" s="5" t="n"/>
      <c r="J21" s="10">
        <f>SUM(E21:I21)</f>
        <v/>
      </c>
      <c r="K21" s="5" t="n">
        <v>1</v>
      </c>
      <c r="L21" s="5">
        <f>K21*J21</f>
        <v/>
      </c>
      <c r="M21" s="5">
        <f>SUMPRODUCT(E21:I21,B5:F5)+B7</f>
        <v/>
      </c>
      <c r="N21" s="5">
        <f>M21-B7</f>
        <v/>
      </c>
      <c r="O21" s="5">
        <f>K21*M21</f>
        <v/>
      </c>
      <c r="P21" s="5">
        <f>K21*N21</f>
        <v/>
      </c>
    </row>
    <row r="22">
      <c r="A22" s="8" t="n">
        <v>2</v>
      </c>
      <c r="B22" s="9" t="n"/>
      <c r="C22" s="8" t="inlineStr">
        <is>
          <t>SOFT SAGE</t>
        </is>
      </c>
      <c r="D22" s="8" t="inlineStr">
        <is>
          <t>198266610023</t>
        </is>
      </c>
      <c r="E22" s="5" t="n"/>
      <c r="F22" s="5" t="n">
        <v>22</v>
      </c>
      <c r="G22" s="5" t="n"/>
      <c r="H22" s="5" t="n"/>
      <c r="I22" s="5" t="n"/>
      <c r="J22" s="10">
        <f>SUM(E22:I22)</f>
        <v/>
      </c>
      <c r="K22" s="5" t="n">
        <v>2</v>
      </c>
      <c r="L22" s="5">
        <f>K22*J22</f>
        <v/>
      </c>
      <c r="M22" s="5">
        <f>SUMPRODUCT(E22:I22,B5:F5)+B7</f>
        <v/>
      </c>
      <c r="N22" s="5">
        <f>M22-B7</f>
        <v/>
      </c>
      <c r="O22" s="5">
        <f>K22*M22</f>
        <v/>
      </c>
      <c r="P22" s="5">
        <f>K22*N22</f>
        <v/>
      </c>
    </row>
    <row r="23">
      <c r="A23" s="8" t="n">
        <v>3</v>
      </c>
      <c r="B23" s="9" t="n"/>
      <c r="C23" s="8" t="inlineStr">
        <is>
          <t>SOFT SAGE</t>
        </is>
      </c>
      <c r="D23" s="8" t="inlineStr">
        <is>
          <t>198266610009</t>
        </is>
      </c>
      <c r="E23" s="5" t="n"/>
      <c r="F23" s="5" t="n"/>
      <c r="G23" s="5" t="n">
        <v>22</v>
      </c>
      <c r="H23" s="5" t="n"/>
      <c r="I23" s="5" t="n"/>
      <c r="J23" s="10">
        <f>SUM(E23:I23)</f>
        <v/>
      </c>
      <c r="K23" s="5" t="n">
        <v>2</v>
      </c>
      <c r="L23" s="5">
        <f>K23*J23</f>
        <v/>
      </c>
      <c r="M23" s="5">
        <f>SUMPRODUCT(E23:I23,B5:F5)+B7</f>
        <v/>
      </c>
      <c r="N23" s="5">
        <f>M23-B7</f>
        <v/>
      </c>
      <c r="O23" s="5">
        <f>K23*M23</f>
        <v/>
      </c>
      <c r="P23" s="5">
        <f>K23*N23</f>
        <v/>
      </c>
    </row>
    <row r="24">
      <c r="A24" s="8" t="n">
        <v>4</v>
      </c>
      <c r="B24" s="9" t="n"/>
      <c r="C24" s="8" t="inlineStr">
        <is>
          <t>SOFT SAGE</t>
        </is>
      </c>
      <c r="D24" s="8" t="inlineStr">
        <is>
          <t>198266610054</t>
        </is>
      </c>
      <c r="E24" s="5" t="n"/>
      <c r="F24" s="5" t="n"/>
      <c r="G24" s="5" t="n"/>
      <c r="H24" s="5" t="n">
        <v>22</v>
      </c>
      <c r="I24" s="5" t="n"/>
      <c r="J24" s="10">
        <f>SUM(E24:I24)</f>
        <v/>
      </c>
      <c r="K24" s="5" t="n">
        <v>1</v>
      </c>
      <c r="L24" s="5">
        <f>K24*J24</f>
        <v/>
      </c>
      <c r="M24" s="5">
        <f>SUMPRODUCT(E24:I24,B5:F5)+B7</f>
        <v/>
      </c>
      <c r="N24" s="5">
        <f>M24-B7</f>
        <v/>
      </c>
      <c r="O24" s="5">
        <f>K24*M24</f>
        <v/>
      </c>
      <c r="P24" s="5">
        <f>K24*N24</f>
        <v/>
      </c>
    </row>
    <row r="25">
      <c r="A25" s="8" t="n">
        <v>5</v>
      </c>
      <c r="B25" s="9" t="n"/>
      <c r="C25" s="9" t="inlineStr">
        <is>
          <t>MIXED</t>
        </is>
      </c>
      <c r="D25" s="8" t="n"/>
      <c r="E25" s="5" t="n">
        <v>5</v>
      </c>
      <c r="F25" s="5" t="n">
        <v>11</v>
      </c>
      <c r="G25" s="5" t="n">
        <v>6</v>
      </c>
      <c r="H25" s="5" t="n"/>
      <c r="I25" s="5" t="n"/>
      <c r="J25" s="10">
        <f>SUM(E25:I25)</f>
        <v/>
      </c>
      <c r="K25" s="5" t="n">
        <v>1</v>
      </c>
      <c r="L25" s="5">
        <f>K25*J25</f>
        <v/>
      </c>
      <c r="M25" s="5">
        <f>SUMPRODUCT(E25:I25,B5:F5)+B7</f>
        <v/>
      </c>
      <c r="N25" s="5">
        <f>M25-B7</f>
        <v/>
      </c>
      <c r="O25" s="5">
        <f>K25*M25</f>
        <v/>
      </c>
      <c r="P25" s="5">
        <f>K25*N25</f>
        <v/>
      </c>
    </row>
    <row r="26">
      <c r="A26" s="8" t="n">
        <v>6</v>
      </c>
      <c r="B26" s="9" t="n"/>
      <c r="C26" s="9" t="inlineStr">
        <is>
          <t>MIXED</t>
        </is>
      </c>
      <c r="D26" s="8" t="n"/>
      <c r="E26" s="5" t="n"/>
      <c r="F26" s="5" t="n"/>
      <c r="G26" s="5" t="n">
        <v>5</v>
      </c>
      <c r="H26" s="5" t="n">
        <v>9</v>
      </c>
      <c r="I26" s="5" t="n">
        <v>8</v>
      </c>
      <c r="J26" s="10">
        <f>SUM(E26:I26)</f>
        <v/>
      </c>
      <c r="K26" s="5" t="n">
        <v>1</v>
      </c>
      <c r="L26" s="5">
        <f>K26*J26</f>
        <v/>
      </c>
      <c r="M26" s="5">
        <f>SUMPRODUCT(E26:I26,B5:F5)+B7</f>
        <v/>
      </c>
      <c r="N26" s="5">
        <f>M26-B7</f>
        <v/>
      </c>
      <c r="O26" s="5">
        <f>K26*M26</f>
        <v/>
      </c>
      <c r="P26" s="5">
        <f>K26*N26</f>
        <v/>
      </c>
    </row>
    <row r="27">
      <c r="A27" s="8" t="n">
        <v>7</v>
      </c>
      <c r="B27" s="9" t="n"/>
      <c r="C27" s="9" t="inlineStr">
        <is>
          <t>MIXED</t>
        </is>
      </c>
      <c r="D27" s="8" t="n"/>
      <c r="E27" s="5" t="n"/>
      <c r="F27" s="5" t="n"/>
      <c r="G27" s="5" t="n"/>
      <c r="H27" s="5" t="n"/>
      <c r="I27" s="5" t="n">
        <v>7</v>
      </c>
      <c r="J27" s="10">
        <f>SUM(E27:I27)</f>
        <v/>
      </c>
      <c r="K27" s="5" t="n">
        <v>1</v>
      </c>
      <c r="L27" s="5">
        <f>K27*J27</f>
        <v/>
      </c>
      <c r="M27" s="5">
        <f>SUMPRODUCT(E27:I27,B5:F5)+B7</f>
        <v/>
      </c>
      <c r="N27" s="5">
        <f>M27-B7</f>
        <v/>
      </c>
      <c r="O27" s="5">
        <f>K27*M27</f>
        <v/>
      </c>
      <c r="P27" s="5">
        <f>K27*N27</f>
        <v/>
      </c>
    </row>
    <row r="28">
      <c r="C28" s="6" t="inlineStr">
        <is>
          <t>TOTAL</t>
        </is>
      </c>
      <c r="E28" s="3">
        <f>SUMPRODUCT(E21:E27,K21:K27)</f>
        <v/>
      </c>
      <c r="F28" s="3">
        <f>SUMPRODUCT(F21:F27,K21:K27)</f>
        <v/>
      </c>
      <c r="G28" s="3">
        <f>SUMPRODUCT(G21:G27,K21:K27)</f>
        <v/>
      </c>
      <c r="H28" s="3">
        <f>SUMPRODUCT(H21:H27,K21:K27)</f>
        <v/>
      </c>
      <c r="I28" s="3">
        <f>SUMPRODUCT(I21:I27,K21:K27)</f>
        <v/>
      </c>
      <c r="K28" s="6">
        <f>IF(COUNT(K21:K27)=0,"",SUM(K21:K27))</f>
        <v/>
      </c>
      <c r="L28" s="6">
        <f>IF(COUNT(L21:L27)=0,"",SUM(L21:L27))</f>
        <v/>
      </c>
      <c r="M28" s="6">
        <f>SUM(M21:M27)</f>
        <v/>
      </c>
      <c r="N28" s="6">
        <f>SUM(N21:N27)</f>
        <v/>
      </c>
      <c r="O28" s="6">
        <f>IF(COUNT(O21:O27)=0,"",SUM(O21:O27))</f>
        <v/>
      </c>
      <c r="P28" s="6">
        <f>IF(COUNT(P21:P27)=0,"",SUM(P21:P27))</f>
        <v/>
      </c>
    </row>
    <row r="31">
      <c r="A31" s="6" t="inlineStr">
        <is>
          <t>SIZE</t>
        </is>
      </c>
      <c r="B31" s="6" t="inlineStr">
        <is>
          <t>S</t>
        </is>
      </c>
      <c r="C31" s="6" t="inlineStr">
        <is>
          <t>M</t>
        </is>
      </c>
      <c r="D31" s="6" t="inlineStr">
        <is>
          <t>L</t>
        </is>
      </c>
      <c r="E31" s="6" t="inlineStr">
        <is>
          <t>XL</t>
        </is>
      </c>
      <c r="F31" s="6" t="inlineStr">
        <is>
          <t>XXL</t>
        </is>
      </c>
      <c r="G31" s="6" t="inlineStr">
        <is>
          <t>G TOTAL</t>
        </is>
      </c>
      <c r="H31" s="2" t="inlineStr">
        <is>
          <t>Grand Total gross weight (kg)</t>
        </is>
      </c>
      <c r="I31" s="2" t="inlineStr">
        <is>
          <t>Grand Total net weight (kg)</t>
        </is>
      </c>
    </row>
    <row r="32">
      <c r="A32" s="6" t="inlineStr">
        <is>
          <t>CUT QTY</t>
        </is>
      </c>
      <c r="B32" s="11" t="n"/>
      <c r="C32" s="11" t="n"/>
      <c r="D32" s="11" t="n"/>
      <c r="E32" s="11" t="n"/>
      <c r="F32" s="11" t="n"/>
      <c r="G32" s="3">
        <f>IF(COUNT(B32:F32)=0,"",SUM(B32:F32))</f>
        <v/>
      </c>
      <c r="H32" s="10">
        <f>O28</f>
        <v/>
      </c>
      <c r="I32" s="10">
        <f>P28</f>
        <v/>
      </c>
    </row>
    <row r="33">
      <c r="A33" s="6" t="inlineStr">
        <is>
          <t>ORDER QTY</t>
        </is>
      </c>
      <c r="B33" s="5" t="n">
        <v>27</v>
      </c>
      <c r="C33" s="5" t="n">
        <v>55</v>
      </c>
      <c r="D33" s="5" t="n">
        <v>55</v>
      </c>
      <c r="E33" s="5" t="n">
        <v>31</v>
      </c>
      <c r="F33" s="5" t="n">
        <v>15</v>
      </c>
      <c r="G33" s="3">
        <f>SUM(B33:F33)</f>
        <v/>
      </c>
    </row>
    <row r="34">
      <c r="A34" s="6" t="inlineStr">
        <is>
          <t>SHIP QTY</t>
        </is>
      </c>
      <c r="B34" s="11" t="n"/>
      <c r="C34" s="11" t="n"/>
      <c r="D34" s="11" t="n"/>
      <c r="E34" s="11" t="n"/>
      <c r="F34" s="11" t="n"/>
      <c r="G34" s="3">
        <f>IF(COUNT(B34:F34)=0,"",SUM(B34:F34))</f>
        <v/>
      </c>
    </row>
    <row r="35">
      <c r="A35" s="6" t="inlineStr">
        <is>
          <t>EXS/SHT QTY</t>
        </is>
      </c>
      <c r="B35" s="5">
        <f>IF(B34="","",B34-B33)</f>
        <v/>
      </c>
      <c r="C35" s="5">
        <f>IF(C34="","",C34-C33)</f>
        <v/>
      </c>
      <c r="D35" s="5">
        <f>IF(D34="","",D34-D33)</f>
        <v/>
      </c>
      <c r="E35" s="5">
        <f>IF(E34="","",E34-E33)</f>
        <v/>
      </c>
      <c r="F35" s="5">
        <f>IF(F34="","",F34-F33)</f>
        <v/>
      </c>
      <c r="G35" s="3">
        <f>IF(COUNT(B35:F35)=0,"",SUM(B35:F35))</f>
        <v/>
      </c>
    </row>
    <row r="36">
      <c r="A36" s="6" t="inlineStr">
        <is>
          <t>PERCENTAGE</t>
        </is>
      </c>
      <c r="B36" s="12">
        <f>IF(B35="","",IFERROR(B35/B33,0))</f>
        <v/>
      </c>
      <c r="C36" s="12">
        <f>IF(C35="","",IFERROR(C35/C33,0))</f>
        <v/>
      </c>
      <c r="D36" s="12">
        <f>IF(D35="","",IFERROR(D35/D33,0))</f>
        <v/>
      </c>
      <c r="E36" s="12">
        <f>IF(E35="","",IFERROR(E35/E33,0))</f>
        <v/>
      </c>
      <c r="F36" s="12">
        <f>IF(F35="","",IFERROR(F35/F33,0))</f>
        <v/>
      </c>
      <c r="G36" s="13">
        <f>IF(G35="","",IFERROR(G35/G33,0))</f>
        <v/>
      </c>
    </row>
    <row r="38">
      <c r="A38" s="6" t="inlineStr">
        <is>
          <t>GROSS WEIGHT :</t>
        </is>
      </c>
      <c r="B38" s="14" t="n"/>
    </row>
    <row r="39">
      <c r="A39" s="6" t="inlineStr">
        <is>
          <t>NET WEIGHT :</t>
        </is>
      </c>
      <c r="B39" s="14" t="n"/>
    </row>
    <row r="40">
      <c r="A40" s="6" t="inlineStr">
        <is>
          <t>CTN MEAS :</t>
        </is>
      </c>
      <c r="B40" s="14" t="n"/>
    </row>
    <row r="41">
      <c r="A41" s="6" t="inlineStr">
        <is>
          <t>CBM :</t>
        </is>
      </c>
      <c r="B41" s="14" t="n"/>
    </row>
    <row r="44">
      <c r="A44" s="6" t="inlineStr">
        <is>
          <t>Legend:</t>
        </is>
      </c>
    </row>
    <row r="45">
      <c r="A45" s="15" t="inlineStr">
        <is>
          <t>Yellow cells = data NOT available in the PO PDF (fill in from factory cutting/packing records)</t>
        </is>
      </c>
    </row>
  </sheetData>
  <mergeCells count="6">
    <mergeCell ref="I31"/>
    <mergeCell ref="H31"/>
    <mergeCell ref="A2:H2"/>
    <mergeCell ref="H32:H36"/>
    <mergeCell ref="I32:I3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22" customWidth="1" min="8" max="8"/>
    <col width="2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CREATIVE COLLECTIONS LTD. U-1-A</t>
        </is>
      </c>
    </row>
    <row r="2">
      <c r="A2" s="2" t="inlineStr">
        <is>
          <t>PACKING LIST DETAILS</t>
        </is>
      </c>
    </row>
    <row r="4">
      <c r="A4" s="3" t="inlineStr">
        <is>
          <t>SIZE</t>
        </is>
      </c>
      <c r="B4" s="4" t="inlineStr">
        <is>
          <t>S</t>
        </is>
      </c>
      <c r="C4" s="4" t="inlineStr">
        <is>
          <t>M</t>
        </is>
      </c>
      <c r="D4" s="4" t="inlineStr">
        <is>
          <t>L</t>
        </is>
      </c>
      <c r="E4" s="4" t="inlineStr">
        <is>
          <t>XL</t>
        </is>
      </c>
      <c r="F4" s="4" t="inlineStr">
        <is>
          <t>XXL</t>
        </is>
      </c>
    </row>
    <row r="5">
      <c r="A5" s="3" t="inlineStr">
        <is>
          <t>N.W.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</row>
    <row r="6">
      <c r="A6" s="3" t="inlineStr">
        <is>
          <t>N.N.W.</t>
        </is>
      </c>
      <c r="B6" s="5" t="n">
        <v>1</v>
      </c>
      <c r="C6" s="5" t="n">
        <v>1</v>
      </c>
      <c r="D6" s="5" t="n">
        <v>1</v>
      </c>
      <c r="E6" s="5" t="n">
        <v>1</v>
      </c>
      <c r="F6" s="5" t="n">
        <v>1</v>
      </c>
    </row>
    <row r="7">
      <c r="A7" s="3" t="inlineStr">
        <is>
          <t>EMPTY CTN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</row>
    <row r="9">
      <c r="A9" s="6" t="inlineStr">
        <is>
          <t>BUYER</t>
        </is>
      </c>
      <c r="B9" s="7" t="inlineStr">
        <is>
          <t>VANS</t>
        </is>
      </c>
    </row>
    <row r="10">
      <c r="A10" s="6" t="inlineStr">
        <is>
          <t>LOT NO</t>
        </is>
      </c>
      <c r="B10" s="7" t="inlineStr">
        <is>
          <t>VN000TA6GCK</t>
        </is>
      </c>
    </row>
    <row r="11">
      <c r="A11" s="6" t="inlineStr">
        <is>
          <t>P.O NO</t>
        </is>
      </c>
      <c r="B11" s="7" t="inlineStr">
        <is>
          <t>600090369200005</t>
        </is>
      </c>
    </row>
    <row r="12">
      <c r="A12" s="6" t="inlineStr">
        <is>
          <t>ORDER QTY</t>
        </is>
      </c>
      <c r="B12" s="7" t="n">
        <v>295</v>
      </c>
      <c r="C12" s="7" t="inlineStr">
        <is>
          <t>PCS</t>
        </is>
      </c>
    </row>
    <row r="13">
      <c r="A13" s="6" t="inlineStr">
        <is>
          <t>PACK QTY</t>
        </is>
      </c>
      <c r="B13" s="7" t="n">
        <v>295</v>
      </c>
      <c r="C13" s="7" t="inlineStr">
        <is>
          <t>PCS</t>
        </is>
      </c>
    </row>
    <row r="14">
      <c r="A14" s="6" t="inlineStr">
        <is>
          <t>EXCESS/SHORT QTY</t>
        </is>
      </c>
      <c r="B14" s="7">
        <f>G34</f>
        <v/>
      </c>
      <c r="C14" s="7" t="inlineStr">
        <is>
          <t>PCS</t>
        </is>
      </c>
    </row>
    <row r="15">
      <c r="A15" s="6" t="inlineStr">
        <is>
          <t>PERCENTAGE</t>
        </is>
      </c>
      <c r="B15" s="7">
        <f>IF(G34="","-",TEXT(IFERROR(G34/G32,0),"0.00%"))</f>
        <v/>
      </c>
    </row>
    <row r="16">
      <c r="A16" s="6" t="inlineStr">
        <is>
          <t>CRD</t>
        </is>
      </c>
      <c r="B16" s="7" t="inlineStr">
        <is>
          <t>2026-01-10</t>
        </is>
      </c>
    </row>
    <row r="17">
      <c r="A17" s="6" t="inlineStr">
        <is>
          <t>COUNTRY</t>
        </is>
      </c>
      <c r="B17" s="7" t="inlineStr">
        <is>
          <t>AUSTRALIA</t>
        </is>
      </c>
    </row>
    <row r="18">
      <c r="A18" s="6" t="inlineStr">
        <is>
          <t>DESCRIPTION</t>
        </is>
      </c>
      <c r="B18" s="7" t="inlineStr">
        <is>
          <t>LARKSPUR MINI PLAID SS</t>
        </is>
      </c>
    </row>
    <row r="20">
      <c r="A20" s="4" t="inlineStr">
        <is>
          <t>CASE LABEL NO.</t>
        </is>
      </c>
      <c r="B20" s="4" t="inlineStr">
        <is>
          <t>CARTON NO.</t>
        </is>
      </c>
      <c r="C20" s="4" t="inlineStr">
        <is>
          <t>COLOR</t>
        </is>
      </c>
      <c r="D20" s="4" t="inlineStr">
        <is>
          <t>UPC Number</t>
        </is>
      </c>
      <c r="E20" s="4" t="inlineStr">
        <is>
          <t>S</t>
        </is>
      </c>
      <c r="F20" s="4" t="inlineStr">
        <is>
          <t>M</t>
        </is>
      </c>
      <c r="G20" s="4" t="inlineStr">
        <is>
          <t>L</t>
        </is>
      </c>
      <c r="H20" s="4" t="inlineStr">
        <is>
          <t>XL</t>
        </is>
      </c>
      <c r="I20" s="4" t="inlineStr">
        <is>
          <t>XXL</t>
        </is>
      </c>
      <c r="J20" s="4" t="inlineStr">
        <is>
          <t>CTN PCS</t>
        </is>
      </c>
      <c r="K20" s="4" t="inlineStr">
        <is>
          <t>TOTAL CTN</t>
        </is>
      </c>
      <c r="L20" s="4" t="inlineStr">
        <is>
          <t>TOTAL PCS</t>
        </is>
      </c>
      <c r="M20" s="4" t="inlineStr">
        <is>
          <t>Grs.wt.pr ctn</t>
        </is>
      </c>
      <c r="N20" s="4" t="inlineStr">
        <is>
          <t>Net.wt.pr ctn</t>
        </is>
      </c>
      <c r="O20" s="4" t="inlineStr">
        <is>
          <t>total.Grs.wt</t>
        </is>
      </c>
      <c r="P20" s="4" t="inlineStr">
        <is>
          <t>total.net.wt</t>
        </is>
      </c>
    </row>
    <row r="21">
      <c r="A21" s="8" t="n">
        <v>1</v>
      </c>
      <c r="B21" s="9" t="n"/>
      <c r="C21" s="8" t="inlineStr">
        <is>
          <t>DAWN MIST/PARIS</t>
        </is>
      </c>
      <c r="D21" s="8" t="inlineStr">
        <is>
          <t>198266610108</t>
        </is>
      </c>
      <c r="E21" s="5" t="n">
        <v>22</v>
      </c>
      <c r="F21" s="5" t="n"/>
      <c r="G21" s="5" t="n"/>
      <c r="H21" s="5" t="n"/>
      <c r="I21" s="5" t="n"/>
      <c r="J21" s="10">
        <f>SUM(E21:I21)</f>
        <v/>
      </c>
      <c r="K21" s="5" t="n">
        <v>2</v>
      </c>
      <c r="L21" s="5">
        <f>K21*J21</f>
        <v/>
      </c>
      <c r="M21" s="5">
        <f>SUMPRODUCT(E21:I21,B5:F5)+B7</f>
        <v/>
      </c>
      <c r="N21" s="5">
        <f>M21-B7</f>
        <v/>
      </c>
      <c r="O21" s="5">
        <f>K21*M21</f>
        <v/>
      </c>
      <c r="P21" s="5">
        <f>K21*N21</f>
        <v/>
      </c>
    </row>
    <row r="22">
      <c r="A22" s="8" t="n">
        <v>2</v>
      </c>
      <c r="B22" s="9" t="n"/>
      <c r="C22" s="8" t="inlineStr">
        <is>
          <t>DAWN MIST/PARIS</t>
        </is>
      </c>
      <c r="D22" s="8" t="inlineStr">
        <is>
          <t>198266610085</t>
        </is>
      </c>
      <c r="E22" s="5" t="n"/>
      <c r="F22" s="5" t="n">
        <v>22</v>
      </c>
      <c r="G22" s="5" t="n"/>
      <c r="H22" s="5" t="n"/>
      <c r="I22" s="5" t="n"/>
      <c r="J22" s="10">
        <f>SUM(E22:I22)</f>
        <v/>
      </c>
      <c r="K22" s="5" t="n">
        <v>4</v>
      </c>
      <c r="L22" s="5">
        <f>K22*J22</f>
        <v/>
      </c>
      <c r="M22" s="5">
        <f>SUMPRODUCT(E22:I22,B5:F5)+B7</f>
        <v/>
      </c>
      <c r="N22" s="5">
        <f>M22-B7</f>
        <v/>
      </c>
      <c r="O22" s="5">
        <f>K22*M22</f>
        <v/>
      </c>
      <c r="P22" s="5">
        <f>K22*N22</f>
        <v/>
      </c>
    </row>
    <row r="23">
      <c r="A23" s="8" t="n">
        <v>3</v>
      </c>
      <c r="B23" s="9" t="n"/>
      <c r="C23" s="8" t="inlineStr">
        <is>
          <t>DAWN MIST/PARIS</t>
        </is>
      </c>
      <c r="D23" s="8" t="inlineStr">
        <is>
          <t>198266610061</t>
        </is>
      </c>
      <c r="E23" s="5" t="n"/>
      <c r="F23" s="5" t="n"/>
      <c r="G23" s="5" t="n">
        <v>22</v>
      </c>
      <c r="H23" s="5" t="n"/>
      <c r="I23" s="5" t="n"/>
      <c r="J23" s="10">
        <f>SUM(E23:I23)</f>
        <v/>
      </c>
      <c r="K23" s="5" t="n">
        <v>4</v>
      </c>
      <c r="L23" s="5">
        <f>K23*J23</f>
        <v/>
      </c>
      <c r="M23" s="5">
        <f>SUMPRODUCT(E23:I23,B5:F5)+B7</f>
        <v/>
      </c>
      <c r="N23" s="5">
        <f>M23-B7</f>
        <v/>
      </c>
      <c r="O23" s="5">
        <f>K23*M23</f>
        <v/>
      </c>
      <c r="P23" s="5">
        <f>K23*N23</f>
        <v/>
      </c>
    </row>
    <row r="24">
      <c r="A24" s="8" t="n">
        <v>4</v>
      </c>
      <c r="B24" s="9" t="n"/>
      <c r="C24" s="8" t="inlineStr">
        <is>
          <t>DAWN MIST/PARIS</t>
        </is>
      </c>
      <c r="D24" s="8" t="inlineStr">
        <is>
          <t>198266610122</t>
        </is>
      </c>
      <c r="E24" s="5" t="n"/>
      <c r="F24" s="5" t="n"/>
      <c r="G24" s="5" t="n"/>
      <c r="H24" s="5" t="n">
        <v>22</v>
      </c>
      <c r="I24" s="5" t="n"/>
      <c r="J24" s="10">
        <f>SUM(E24:I24)</f>
        <v/>
      </c>
      <c r="K24" s="5" t="n">
        <v>2</v>
      </c>
      <c r="L24" s="5">
        <f>K24*J24</f>
        <v/>
      </c>
      <c r="M24" s="5">
        <f>SUMPRODUCT(E24:I24,B5:F5)+B7</f>
        <v/>
      </c>
      <c r="N24" s="5">
        <f>M24-B7</f>
        <v/>
      </c>
      <c r="O24" s="5">
        <f>K24*M24</f>
        <v/>
      </c>
      <c r="P24" s="5">
        <f>K24*N24</f>
        <v/>
      </c>
    </row>
    <row r="25">
      <c r="A25" s="8" t="n">
        <v>5</v>
      </c>
      <c r="B25" s="9" t="n"/>
      <c r="C25" s="8" t="inlineStr">
        <is>
          <t>DAWN MIST/PARIS</t>
        </is>
      </c>
      <c r="D25" s="8" t="inlineStr">
        <is>
          <t>198266610191</t>
        </is>
      </c>
      <c r="E25" s="5" t="n"/>
      <c r="F25" s="5" t="n"/>
      <c r="G25" s="5" t="n"/>
      <c r="H25" s="5" t="n"/>
      <c r="I25" s="5" t="n">
        <v>22</v>
      </c>
      <c r="J25" s="10">
        <f>SUM(E25:I25)</f>
        <v/>
      </c>
      <c r="K25" s="5" t="n">
        <v>1</v>
      </c>
      <c r="L25" s="5">
        <f>K25*J25</f>
        <v/>
      </c>
      <c r="M25" s="5">
        <f>SUMPRODUCT(E25:I25,B5:F5)+B7</f>
        <v/>
      </c>
      <c r="N25" s="5">
        <f>M25-B7</f>
        <v/>
      </c>
      <c r="O25" s="5">
        <f>K25*M25</f>
        <v/>
      </c>
      <c r="P25" s="5">
        <f>K25*N25</f>
        <v/>
      </c>
    </row>
    <row r="26">
      <c r="A26" s="8" t="n">
        <v>6</v>
      </c>
      <c r="B26" s="9" t="n"/>
      <c r="C26" s="9" t="inlineStr">
        <is>
          <t>MIXED</t>
        </is>
      </c>
      <c r="D26" s="8" t="n"/>
      <c r="E26" s="5" t="n">
        <v>1</v>
      </c>
      <c r="F26" s="5" t="n">
        <v>2</v>
      </c>
      <c r="G26" s="5" t="n">
        <v>2</v>
      </c>
      <c r="H26" s="5" t="n">
        <v>4</v>
      </c>
      <c r="I26" s="5" t="n"/>
      <c r="J26" s="10">
        <f>SUM(E26:I26)</f>
        <v/>
      </c>
      <c r="K26" s="5" t="n">
        <v>1</v>
      </c>
      <c r="L26" s="5">
        <f>K26*J26</f>
        <v/>
      </c>
      <c r="M26" s="5">
        <f>SUMPRODUCT(E26:I26,B5:F5)+B7</f>
        <v/>
      </c>
      <c r="N26" s="5">
        <f>M26-B7</f>
        <v/>
      </c>
      <c r="O26" s="5">
        <f>K26*M26</f>
        <v/>
      </c>
      <c r="P26" s="5">
        <f>K26*N26</f>
        <v/>
      </c>
    </row>
    <row r="27">
      <c r="C27" s="6" t="inlineStr">
        <is>
          <t>TOTAL</t>
        </is>
      </c>
      <c r="E27" s="3">
        <f>SUMPRODUCT(E21:E26,K21:K26)</f>
        <v/>
      </c>
      <c r="F27" s="3">
        <f>SUMPRODUCT(F21:F26,K21:K26)</f>
        <v/>
      </c>
      <c r="G27" s="3">
        <f>SUMPRODUCT(G21:G26,K21:K26)</f>
        <v/>
      </c>
      <c r="H27" s="3">
        <f>SUMPRODUCT(H21:H26,K21:K26)</f>
        <v/>
      </c>
      <c r="I27" s="3">
        <f>SUMPRODUCT(I21:I26,K21:K26)</f>
        <v/>
      </c>
      <c r="K27" s="6">
        <f>IF(COUNT(K21:K26)=0,"",SUM(K21:K26))</f>
        <v/>
      </c>
      <c r="L27" s="6">
        <f>IF(COUNT(L21:L26)=0,"",SUM(L21:L26))</f>
        <v/>
      </c>
      <c r="M27" s="6">
        <f>SUM(M21:M26)</f>
        <v/>
      </c>
      <c r="N27" s="6">
        <f>SUM(N21:N26)</f>
        <v/>
      </c>
      <c r="O27" s="6">
        <f>IF(COUNT(O21:O26)=0,"",SUM(O21:O26))</f>
        <v/>
      </c>
      <c r="P27" s="6">
        <f>IF(COUNT(P21:P26)=0,"",SUM(P21:P26))</f>
        <v/>
      </c>
    </row>
    <row r="30">
      <c r="A30" s="6" t="inlineStr">
        <is>
          <t>SIZE</t>
        </is>
      </c>
      <c r="B30" s="6" t="inlineStr">
        <is>
          <t>S</t>
        </is>
      </c>
      <c r="C30" s="6" t="inlineStr">
        <is>
          <t>M</t>
        </is>
      </c>
      <c r="D30" s="6" t="inlineStr">
        <is>
          <t>L</t>
        </is>
      </c>
      <c r="E30" s="6" t="inlineStr">
        <is>
          <t>XL</t>
        </is>
      </c>
      <c r="F30" s="6" t="inlineStr">
        <is>
          <t>XXL</t>
        </is>
      </c>
      <c r="G30" s="6" t="inlineStr">
        <is>
          <t>G TOTAL</t>
        </is>
      </c>
      <c r="H30" s="2" t="inlineStr">
        <is>
          <t>Grand Total gross weight (kg)</t>
        </is>
      </c>
      <c r="I30" s="2" t="inlineStr">
        <is>
          <t>Grand Total net weight (kg)</t>
        </is>
      </c>
    </row>
    <row r="31">
      <c r="A31" s="6" t="inlineStr">
        <is>
          <t>CUT QTY</t>
        </is>
      </c>
      <c r="B31" s="11" t="n"/>
      <c r="C31" s="11" t="n"/>
      <c r="D31" s="11" t="n"/>
      <c r="E31" s="11" t="n"/>
      <c r="F31" s="11" t="n"/>
      <c r="G31" s="3">
        <f>IF(COUNT(B31:F31)=0,"",SUM(B31:F31))</f>
        <v/>
      </c>
      <c r="H31" s="10">
        <f>O27</f>
        <v/>
      </c>
      <c r="I31" s="10">
        <f>P27</f>
        <v/>
      </c>
    </row>
    <row r="32">
      <c r="A32" s="6" t="inlineStr">
        <is>
          <t>ORDER QTY</t>
        </is>
      </c>
      <c r="B32" s="5" t="n">
        <v>45</v>
      </c>
      <c r="C32" s="5" t="n">
        <v>90</v>
      </c>
      <c r="D32" s="5" t="n">
        <v>90</v>
      </c>
      <c r="E32" s="5" t="n">
        <v>48</v>
      </c>
      <c r="F32" s="5" t="n">
        <v>22</v>
      </c>
      <c r="G32" s="3">
        <f>SUM(B32:F32)</f>
        <v/>
      </c>
    </row>
    <row r="33">
      <c r="A33" s="6" t="inlineStr">
        <is>
          <t>SHIP QTY</t>
        </is>
      </c>
      <c r="B33" s="11" t="n"/>
      <c r="C33" s="11" t="n"/>
      <c r="D33" s="11" t="n"/>
      <c r="E33" s="11" t="n"/>
      <c r="F33" s="11" t="n"/>
      <c r="G33" s="3">
        <f>IF(COUNT(B33:F33)=0,"",SUM(B33:F33))</f>
        <v/>
      </c>
    </row>
    <row r="34">
      <c r="A34" s="6" t="inlineStr">
        <is>
          <t>EXS/SHT QTY</t>
        </is>
      </c>
      <c r="B34" s="5">
        <f>IF(B33="","",B33-B32)</f>
        <v/>
      </c>
      <c r="C34" s="5">
        <f>IF(C33="","",C33-C32)</f>
        <v/>
      </c>
      <c r="D34" s="5">
        <f>IF(D33="","",D33-D32)</f>
        <v/>
      </c>
      <c r="E34" s="5">
        <f>IF(E33="","",E33-E32)</f>
        <v/>
      </c>
      <c r="F34" s="5">
        <f>IF(F33="","",F33-F32)</f>
        <v/>
      </c>
      <c r="G34" s="3">
        <f>IF(COUNT(B34:F34)=0,"",SUM(B34:F34))</f>
        <v/>
      </c>
    </row>
    <row r="35">
      <c r="A35" s="6" t="inlineStr">
        <is>
          <t>PERCENTAGE</t>
        </is>
      </c>
      <c r="B35" s="12">
        <f>IF(B34="","",IFERROR(B34/B32,0))</f>
        <v/>
      </c>
      <c r="C35" s="12">
        <f>IF(C34="","",IFERROR(C34/C32,0))</f>
        <v/>
      </c>
      <c r="D35" s="12">
        <f>IF(D34="","",IFERROR(D34/D32,0))</f>
        <v/>
      </c>
      <c r="E35" s="12">
        <f>IF(E34="","",IFERROR(E34/E32,0))</f>
        <v/>
      </c>
      <c r="F35" s="12">
        <f>IF(F34="","",IFERROR(F34/F32,0))</f>
        <v/>
      </c>
      <c r="G35" s="13">
        <f>IF(G34="","",IFERROR(G34/G32,0))</f>
        <v/>
      </c>
    </row>
    <row r="37">
      <c r="A37" s="6" t="inlineStr">
        <is>
          <t>GROSS WEIGHT :</t>
        </is>
      </c>
      <c r="B37" s="14" t="n"/>
    </row>
    <row r="38">
      <c r="A38" s="6" t="inlineStr">
        <is>
          <t>NET WEIGHT :</t>
        </is>
      </c>
      <c r="B38" s="14" t="n"/>
    </row>
    <row r="39">
      <c r="A39" s="6" t="inlineStr">
        <is>
          <t>CTN MEAS :</t>
        </is>
      </c>
      <c r="B39" s="14" t="n"/>
    </row>
    <row r="40">
      <c r="A40" s="6" t="inlineStr">
        <is>
          <t>CBM :</t>
        </is>
      </c>
      <c r="B40" s="14" t="n"/>
    </row>
    <row r="43">
      <c r="A43" s="6" t="inlineStr">
        <is>
          <t>Legend:</t>
        </is>
      </c>
    </row>
    <row r="44">
      <c r="A44" s="15" t="inlineStr">
        <is>
          <t>Yellow cells = data NOT available in the PO PDF (fill in from factory cutting/packing records)</t>
        </is>
      </c>
    </row>
  </sheetData>
  <mergeCells count="6">
    <mergeCell ref="H31:H35"/>
    <mergeCell ref="I31:I35"/>
    <mergeCell ref="H30"/>
    <mergeCell ref="A2:H2"/>
    <mergeCell ref="I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2026-09-20T15:11:33Z</dcterms:created>
  <dcterms:modified xsi:type="dcterms:W3CDTF">2026-09-20T15:11:33Z</dcterms:modified>
</cp:coreProperties>
</file>